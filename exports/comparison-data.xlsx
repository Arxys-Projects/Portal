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ndynewbom/Developer/Arxys Portal/exports/"/>
    </mc:Choice>
  </mc:AlternateContent>
  <xr:revisionPtr revIDLastSave="0" documentId="13_ncr:1_{FBC3F45E-E910-A140-9500-0AB7FA1C3E0D}" xr6:coauthVersionLast="47" xr6:coauthVersionMax="47" xr10:uidLastSave="{00000000-0000-0000-0000-000000000000}"/>
  <bookViews>
    <workbookView xWindow="18200" yWindow="6280" windowWidth="50600" windowHeight="21200" activeTab="3" xr2:uid="{00000000-000D-0000-FFFF-FFFF00000000}"/>
  </bookViews>
  <sheets>
    <sheet name="product_specs" sheetId="1" r:id="rId1"/>
    <sheet name="competitor_products" sheetId="2" r:id="rId2"/>
    <sheet name="display_specs" sheetId="4" r:id="rId3"/>
    <sheet name="StreamVaul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3" i="2" l="1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</calcChain>
</file>

<file path=xl/sharedStrings.xml><?xml version="1.0" encoding="utf-8"?>
<sst xmlns="http://schemas.openxmlformats.org/spreadsheetml/2006/main" count="1886" uniqueCount="322">
  <si>
    <t>id</t>
  </si>
  <si>
    <t>model_name</t>
  </si>
  <si>
    <t>form_factor</t>
  </si>
  <si>
    <t>storage_raw_tb</t>
  </si>
  <si>
    <t>cpu_model</t>
  </si>
  <si>
    <t>cpu_cores_threads</t>
  </si>
  <si>
    <t>cpu_base_ghz</t>
  </si>
  <si>
    <t>cpu_passmark</t>
  </si>
  <si>
    <t>ram_gb</t>
  </si>
  <si>
    <t>max_cameras</t>
  </si>
  <si>
    <t>max_cameras_h265</t>
  </si>
  <si>
    <t>network</t>
  </si>
  <si>
    <t>raid_support</t>
  </si>
  <si>
    <t>os</t>
  </si>
  <si>
    <t>warranty</t>
  </si>
  <si>
    <t>vms_certified</t>
  </si>
  <si>
    <t>msrp</t>
  </si>
  <si>
    <t>notes</t>
  </si>
  <si>
    <t>product_sku</t>
  </si>
  <si>
    <t>rack_units</t>
  </si>
  <si>
    <t>drive_bays</t>
  </si>
  <si>
    <t>max_bandwidth_mbps</t>
  </si>
  <si>
    <t>os_edition</t>
  </si>
  <si>
    <t>ram_spec</t>
  </si>
  <si>
    <t>cpu_model_full</t>
  </si>
  <si>
    <t>cpu_turbo_ghz</t>
  </si>
  <si>
    <t>cores_threads</t>
  </si>
  <si>
    <t>cpu_cache</t>
  </si>
  <si>
    <t>mem_bandwidth</t>
  </si>
  <si>
    <t>avx_512</t>
  </si>
  <si>
    <t>workload_affinity</t>
  </si>
  <si>
    <t>chiplet_arch</t>
  </si>
  <si>
    <t>infinity_guard</t>
  </si>
  <si>
    <t>hotswap_power</t>
  </si>
  <si>
    <t>hdd_count</t>
  </si>
  <si>
    <t>hdd_mtbf</t>
  </si>
  <si>
    <t>raid_level_display</t>
  </si>
  <si>
    <t>battery_raid</t>
  </si>
  <si>
    <t>os_ssd_type</t>
  </si>
  <si>
    <t>os_redundancy</t>
  </si>
  <si>
    <t>gbe_1_ports</t>
  </si>
  <si>
    <t>gbe_10_ports</t>
  </si>
  <si>
    <t>sfp_addon</t>
  </si>
  <si>
    <t>avigilon_gpu</t>
  </si>
  <si>
    <t>VX5-V100-32</t>
  </si>
  <si>
    <t>VideoX V100 32TB 1U 2Bay</t>
  </si>
  <si>
    <t>1U Rackmount</t>
  </si>
  <si>
    <t>AMD EPYC 4005 Series</t>
  </si>
  <si>
    <t>8C/16T</t>
  </si>
  <si>
    <t>2 × 10GbE + 1 IPMI</t>
  </si>
  <si>
    <t>Software RAID 0/1</t>
  </si>
  <si>
    <t>Windows Server 2022 / 2025 IoT</t>
  </si>
  <si>
    <t>5yr NBD, Advanced Replacement</t>
  </si>
  <si>
    <t>Milestone XProtect, Avigilon ACC</t>
  </si>
  <si>
    <t>Entry rack</t>
  </si>
  <si>
    <t>1U</t>
  </si>
  <si>
    <t>Windows Server 2022 OR 2025 WKGP LTSC</t>
  </si>
  <si>
    <t>16GB ECC DDR5</t>
  </si>
  <si>
    <t>AMD EPYC 4005 4.0Ghz 6/12 Core</t>
  </si>
  <si>
    <t>5.4 Ghz</t>
  </si>
  <si>
    <t>6C/12T</t>
  </si>
  <si>
    <t>32MB</t>
  </si>
  <si>
    <t>89.6 GB/s</t>
  </si>
  <si>
    <t>Yes</t>
  </si>
  <si>
    <t>NO</t>
  </si>
  <si>
    <t>2.5 Million</t>
  </si>
  <si>
    <t>1x NVMe</t>
  </si>
  <si>
    <t>No</t>
  </si>
  <si>
    <t>VX5-V100-40</t>
  </si>
  <si>
    <t>VideoX V100 40TB 1U 2Bay</t>
  </si>
  <si>
    <t>Milestone XProtect, Avigilon ACC, Genetec</t>
  </si>
  <si>
    <t>VX5-V100-48</t>
  </si>
  <si>
    <t>VideoX V100 48TB 1U 2Bay</t>
  </si>
  <si>
    <t>VX5-V200-64</t>
  </si>
  <si>
    <t>VideoX V200 64TB 1U 4Bay</t>
  </si>
  <si>
    <t>RAID 0/1/5/6/10</t>
  </si>
  <si>
    <t>YES</t>
  </si>
  <si>
    <t>2x Enterprise SSD</t>
  </si>
  <si>
    <t>Mirrored, hot-swap</t>
  </si>
  <si>
    <t>Optional</t>
  </si>
  <si>
    <t>VX5-V200-80</t>
  </si>
  <si>
    <t>VideoX V200 80TB 1U 4Bay</t>
  </si>
  <si>
    <t>VX5-V200-96</t>
  </si>
  <si>
    <t>VideoX V200 96TB 1U 4Bay</t>
  </si>
  <si>
    <t>VX5-V400-128</t>
  </si>
  <si>
    <t>VideoX V400 128TB 2U 8Bay</t>
  </si>
  <si>
    <t>2U Rackmount</t>
  </si>
  <si>
    <t>AMD EPYC 9005 Series</t>
  </si>
  <si>
    <t>16C/32T</t>
  </si>
  <si>
    <t>4 × 10GbE + 1 IPMI</t>
  </si>
  <si>
    <t>2U</t>
  </si>
  <si>
    <t>Windows Server 2022 OR 2025 LTSC</t>
  </si>
  <si>
    <t>AMD EPYC 9005 3.3Ghz 16/32 Core</t>
  </si>
  <si>
    <t>3.3 Ghz</t>
  </si>
  <si>
    <t>64MB</t>
  </si>
  <si>
    <t>614 GB/s</t>
  </si>
  <si>
    <t>VX5-V400-160</t>
  </si>
  <si>
    <t>VideoX V400 160TB 2U 8Bay</t>
  </si>
  <si>
    <t>VX5-V400-192</t>
  </si>
  <si>
    <t>VideoX V400 192TB 2U 8Bay</t>
  </si>
  <si>
    <t>VX5-V500-192</t>
  </si>
  <si>
    <t>VideoX V500 192TB 2U 12Bay</t>
  </si>
  <si>
    <t>32GB ECC DDR5</t>
  </si>
  <si>
    <t>VX5-V500-240</t>
  </si>
  <si>
    <t>VideoX V500 240TB 2U 12Bay</t>
  </si>
  <si>
    <t>VX5-V500-288</t>
  </si>
  <si>
    <t>VideoX V500 288TB 2U 12Bay</t>
  </si>
  <si>
    <t>VX5-V600-256</t>
  </si>
  <si>
    <t>VideoX V600 256TB 3U 16Bay</t>
  </si>
  <si>
    <t>3U Rackmount</t>
  </si>
  <si>
    <t>3U</t>
  </si>
  <si>
    <t>VX5-V600-320</t>
  </si>
  <si>
    <t>VideoX V600 320TB 3U 16Bay</t>
  </si>
  <si>
    <t>VX5-V600-384</t>
  </si>
  <si>
    <t>VideoX V600 384TB 3U 16Bay</t>
  </si>
  <si>
    <t>VX5-V700-384</t>
  </si>
  <si>
    <t>VideoX V700 384TB 4U 24Bay</t>
  </si>
  <si>
    <t>4U Rackmount</t>
  </si>
  <si>
    <t>4U</t>
  </si>
  <si>
    <t>AMD EPYC 9005 4.3Ghz 16/32 Core</t>
  </si>
  <si>
    <t>4.25 Ghz</t>
  </si>
  <si>
    <t>VX5-V700-480</t>
  </si>
  <si>
    <t>VideoX V700 480TB 4U 24Bay</t>
  </si>
  <si>
    <t>VX5-V700-576</t>
  </si>
  <si>
    <t>VideoX V700 576TB 4U 24Bay</t>
  </si>
  <si>
    <t>VX5-V800-576</t>
  </si>
  <si>
    <t>VideoX V800 576TB 4U 36Bay</t>
  </si>
  <si>
    <t>VX5-V800-720</t>
  </si>
  <si>
    <t>VideoX V800 720TB 4U 36Bay</t>
  </si>
  <si>
    <t>VX5-V800-864</t>
  </si>
  <si>
    <t>VideoX V800 864TB 4U 36Bay</t>
  </si>
  <si>
    <t>vendor</t>
  </si>
  <si>
    <t>brand_name</t>
  </si>
  <si>
    <t>product_line</t>
  </si>
  <si>
    <t>sku</t>
  </si>
  <si>
    <t>hw_platform</t>
  </si>
  <si>
    <t>arxys_match_id</t>
  </si>
  <si>
    <t>msrp_current</t>
  </si>
  <si>
    <t>HE700R-16TB</t>
  </si>
  <si>
    <t>milestone</t>
  </si>
  <si>
    <t>Milestone</t>
  </si>
  <si>
    <t>Husky IVO</t>
  </si>
  <si>
    <t>Husky IVO 700 1U Rack</t>
  </si>
  <si>
    <t>Dell PowerEdge R360</t>
  </si>
  <si>
    <t>Intel Xeon E-2436</t>
  </si>
  <si>
    <t>2 × 1GbE</t>
  </si>
  <si>
    <t>RAID 5/6</t>
  </si>
  <si>
    <t>Windows Server 2022 IoT</t>
  </si>
  <si>
    <t>5yr NBD</t>
  </si>
  <si>
    <t>Milestone XProtect only</t>
  </si>
  <si>
    <t>HE700R-32TB</t>
  </si>
  <si>
    <t>HE700R-48TB</t>
  </si>
  <si>
    <t>HE700R-64TB</t>
  </si>
  <si>
    <t>HE1000R-32TB</t>
  </si>
  <si>
    <t>Husky IVO 1000 2U Rack</t>
  </si>
  <si>
    <t>Dell PowerEdge R760xs</t>
  </si>
  <si>
    <t>Intel Xeon Silver 4410Y</t>
  </si>
  <si>
    <t>12C/24T</t>
  </si>
  <si>
    <t>6 × 1GbE + 1 × 1GbE Mgmt</t>
  </si>
  <si>
    <t>HE1000R-64TB</t>
  </si>
  <si>
    <t>HE1000R-96TB</t>
  </si>
  <si>
    <t>HE1000R-128TB</t>
  </si>
  <si>
    <t>HE1800R-48TB</t>
  </si>
  <si>
    <t>Husky IVO 1800 2U Rack</t>
  </si>
  <si>
    <t>Dell PowerEdge R760xd2</t>
  </si>
  <si>
    <t>Windows Server 2022</t>
  </si>
  <si>
    <t>HE1800R-96TB</t>
  </si>
  <si>
    <t>HE1800R-144TB</t>
  </si>
  <si>
    <t>HE1800R-192TB</t>
  </si>
  <si>
    <t>HE1800R-288TB</t>
  </si>
  <si>
    <t>HE1800R-384TB</t>
  </si>
  <si>
    <t>NVR6-STD-FORM-D-16TB-S22</t>
  </si>
  <si>
    <t>avigilon</t>
  </si>
  <si>
    <t>Avigilon</t>
  </si>
  <si>
    <t>NVR6</t>
  </si>
  <si>
    <t>NVR6 Standard 16TB (Server 2022)</t>
  </si>
  <si>
    <t>6 × 1GbE</t>
  </si>
  <si>
    <t>Avigilon only</t>
  </si>
  <si>
    <t>NVR6-STD-FORM-D-24TB-S22</t>
  </si>
  <si>
    <t>NVR6 Standard 24TB (Server 2022)</t>
  </si>
  <si>
    <t>NVR6-STD-FORM-D-32TB-S22</t>
  </si>
  <si>
    <t>NVR6 Standard 32TB (Server 2022)</t>
  </si>
  <si>
    <t>NVR6-STD-FORM-D-48TB-S22</t>
  </si>
  <si>
    <t>NVR6 Standard 48TB (Server 2022)</t>
  </si>
  <si>
    <t>NVR6-STD-FORM-D-64TB-S22</t>
  </si>
  <si>
    <t>NVR6 Standard 64TB (Server 2022)</t>
  </si>
  <si>
    <t>NVR6-STD-FORM-D-16TB-W10</t>
  </si>
  <si>
    <t>NVR6 Standard 16TB (Win IoT)</t>
  </si>
  <si>
    <t>Windows 11 Desktop</t>
  </si>
  <si>
    <t>NVR6-STD-FORM-D-24TB-W10</t>
  </si>
  <si>
    <t>NVR6 Standard 24TB (Win IoT)</t>
  </si>
  <si>
    <t>NVR6-STD-FORM-D-32TB-W10</t>
  </si>
  <si>
    <t>NVR6 Standard 32TB (Win IoT)</t>
  </si>
  <si>
    <t>NVR6-STD-FORM-D-48TB-W10</t>
  </si>
  <si>
    <t>NVR6 Standard 48TB (Win IoT)</t>
  </si>
  <si>
    <t>NVR6-STD-FORM-D-64TB-W10</t>
  </si>
  <si>
    <t>NVR6 Standard 64TB (Win IoT)</t>
  </si>
  <si>
    <t>NVR6-PRM-FORM-D-72TB-S22</t>
  </si>
  <si>
    <t>NVR6 Premium 72TB</t>
  </si>
  <si>
    <t>Intel Xeon Silver 4410Y (dual)</t>
  </si>
  <si>
    <t>24C/48T</t>
  </si>
  <si>
    <t>4 × 10GbE + 4 × 1GbE</t>
  </si>
  <si>
    <t>NVR6-PRM-FORM-D-96TB-S22</t>
  </si>
  <si>
    <t>NVR6 Premium 96TB</t>
  </si>
  <si>
    <t>4 × 10GbE + 6 × 1GbE</t>
  </si>
  <si>
    <t>NVR6-PRM-FORM-D-120TB-S22</t>
  </si>
  <si>
    <t>NVR6 Premium 120TB</t>
  </si>
  <si>
    <t>NVR6-PRM-FORM-D-160TB-S22</t>
  </si>
  <si>
    <t>NVR6 Premium 160TB</t>
  </si>
  <si>
    <t>NVR6-PRM-FORM-D-200TB-S22</t>
  </si>
  <si>
    <t>NVR6 Premium 200TB</t>
  </si>
  <si>
    <t>NVR6-PRM-PLUS-FORM-H-200TB-S22</t>
  </si>
  <si>
    <t>NVR6 Premium Plus 200TB</t>
  </si>
  <si>
    <t>NVR6-PRM-PLUS-FORM-H-240TB-S22</t>
  </si>
  <si>
    <t>NVR6 Premium Plus 240TB</t>
  </si>
  <si>
    <t>NVR6-PRM-PLUS-FORM-H-280TB-S22</t>
  </si>
  <si>
    <t>NVR6 Premium Plus 280TB</t>
  </si>
  <si>
    <t>NVR6-PRM-PLUS-FORM-H-360TB-S22</t>
  </si>
  <si>
    <t>NVR6 Premium Plus 360TB</t>
  </si>
  <si>
    <t>NVR6-PRM-PLUS-FORM-H-440TB-S22</t>
  </si>
  <si>
    <t>NVR6 Premium Plus 440TB</t>
  </si>
  <si>
    <t>SV-300E-2TB</t>
  </si>
  <si>
    <t>Genetec</t>
  </si>
  <si>
    <t>StreamVault</t>
  </si>
  <si>
    <t>SV-300E</t>
  </si>
  <si>
    <t>Small Form Factor</t>
  </si>
  <si>
    <t>Dell Pro Slim XE5</t>
  </si>
  <si>
    <t>Intel Core Ultra 5 235</t>
  </si>
  <si>
    <t>14C/14T</t>
  </si>
  <si>
    <t>1x 1GbE RJ45</t>
  </si>
  <si>
    <t>Windows 11 Enterprise LTSC</t>
  </si>
  <si>
    <t>SV-300E-8TB</t>
  </si>
  <si>
    <t>SV-300E-16TB</t>
  </si>
  <si>
    <t>SV-300E-T4-24TB</t>
  </si>
  <si>
    <t>SV-300E-T4</t>
  </si>
  <si>
    <t>Mid Tower</t>
  </si>
  <si>
    <t>Dell Pro Max Tower T2</t>
  </si>
  <si>
    <t>SV-300E-T4-36TB</t>
  </si>
  <si>
    <t>SV-300E-T4-48TB</t>
  </si>
  <si>
    <t>SV-300E-T4-60TB</t>
  </si>
  <si>
    <t>SV-1041E-RS2-8TB</t>
  </si>
  <si>
    <t>SV-1041E-RS2</t>
  </si>
  <si>
    <t>Dell PowerEdge R260 OEMR</t>
  </si>
  <si>
    <t>Xeon E-2434</t>
  </si>
  <si>
    <t>4C/8T</t>
  </si>
  <si>
    <t>2x 1GbE RJ45</t>
  </si>
  <si>
    <t>JBOD (No RAID)</t>
  </si>
  <si>
    <t>Windows Server 2025 Standard IoT</t>
  </si>
  <si>
    <t>SV-1041E-RS2-16TB</t>
  </si>
  <si>
    <t>SV-1041E-RS2-32TB</t>
  </si>
  <si>
    <t>SV-1041E-T3-24TB</t>
  </si>
  <si>
    <t>SV-1041E-T3</t>
  </si>
  <si>
    <t>Mini Tower</t>
  </si>
  <si>
    <t>Dell PowerEdge T160 OEMR</t>
  </si>
  <si>
    <t>Xeon E-2436</t>
  </si>
  <si>
    <t>RAID 5</t>
  </si>
  <si>
    <t>SV-1041E-T3-48TB</t>
  </si>
  <si>
    <t>SV-2041E-R4-36TB</t>
  </si>
  <si>
    <t>SV-2041E-R4</t>
  </si>
  <si>
    <t>SV-2041E-R4-48TB</t>
  </si>
  <si>
    <t>SV-2041E-R4-64TB</t>
  </si>
  <si>
    <t>SV-2041E-R15-72TB</t>
  </si>
  <si>
    <t>SV-2041E-R15</t>
  </si>
  <si>
    <t>Dell PowerEdge R760xs XL</t>
  </si>
  <si>
    <t>Xeon Silver 4416+</t>
  </si>
  <si>
    <t>20C/40T</t>
  </si>
  <si>
    <t>2x 1GbE RJ45, 2x 10/25GbE SFP28</t>
  </si>
  <si>
    <t>SV-2041E-R15-144TB</t>
  </si>
  <si>
    <t>SV-2041E-R15-216TB</t>
  </si>
  <si>
    <t>SV-2041E-R15-288TB</t>
  </si>
  <si>
    <t>SV-2041E-R15-360TB</t>
  </si>
  <si>
    <t>SV-4041EX-R28-320TB</t>
  </si>
  <si>
    <t>SV-4041EX-R28</t>
  </si>
  <si>
    <t>Dell PowerEdge R760xd2 OEMR</t>
  </si>
  <si>
    <t>2x Xeon Gold 5416S</t>
  </si>
  <si>
    <t>16C/32T per CPU</t>
  </si>
  <si>
    <t>RAID 6/60</t>
  </si>
  <si>
    <t>SV-4041EX-R28-368TB</t>
  </si>
  <si>
    <t>SV-4041EX-R28-416TB</t>
  </si>
  <si>
    <t>SV-4041EX-R28-480TB</t>
  </si>
  <si>
    <t>SV-4041EX-R28-560TB</t>
  </si>
  <si>
    <t>SV-4041EX-R28-672TB</t>
  </si>
  <si>
    <t>SV-7041EX-R6S-0.96TB</t>
  </si>
  <si>
    <t>SV-7041EX-R6S</t>
  </si>
  <si>
    <t>Dell PowerEdge R660xs</t>
  </si>
  <si>
    <t>2x Xeon Silver 4416+</t>
  </si>
  <si>
    <t>20C/40T per CPU</t>
  </si>
  <si>
    <t>2x 1GbE RJ45, 4x 10/25GbE SFP28</t>
  </si>
  <si>
    <t>cpu_cores</t>
  </si>
  <si>
    <t>cpu_threads</t>
  </si>
  <si>
    <t>cpu_passmark_notes</t>
  </si>
  <si>
    <t>genetec</t>
  </si>
  <si>
    <t>Entry / SFF</t>
  </si>
  <si>
    <t>Entry / Mid Tower</t>
  </si>
  <si>
    <t>1U Enterprise</t>
  </si>
  <si>
    <t>2U Enterprise</t>
  </si>
  <si>
    <t>2U Large</t>
  </si>
  <si>
    <t>2x CPU; actual dual-socket score (cpubenchmark.net) — replaces prior 2× single estimate</t>
  </si>
  <si>
    <t>1U Dir/Fed node</t>
  </si>
  <si>
    <t>spec_key</t>
  </si>
  <si>
    <t>display_label</t>
  </si>
  <si>
    <t>highlight_if_better</t>
  </si>
  <si>
    <t>is_numeric</t>
  </si>
  <si>
    <t>display_order</t>
  </si>
  <si>
    <t>Server Model</t>
  </si>
  <si>
    <t>Maximum Cameras</t>
  </si>
  <si>
    <t>Maximum H.265 Cameras</t>
  </si>
  <si>
    <t>Processor</t>
  </si>
  <si>
    <t>CPU Cores / Threads</t>
  </si>
  <si>
    <t>Base Clock Speed (GHz)</t>
  </si>
  <si>
    <t>CPU Passmark Score</t>
  </si>
  <si>
    <t>Memory (GB)</t>
  </si>
  <si>
    <t>Raw Storage (TB)</t>
  </si>
  <si>
    <t>Network Interfaces</t>
  </si>
  <si>
    <t>RAID Support</t>
  </si>
  <si>
    <t>Warranty</t>
  </si>
  <si>
    <t>VMS Support</t>
  </si>
  <si>
    <t>Dell/HP Server Used</t>
  </si>
  <si>
    <t>Genetec Only</t>
  </si>
  <si>
    <t>VX5-V200-88</t>
  </si>
  <si>
    <t>Dell PowerEdge R760</t>
  </si>
  <si>
    <t>HPE Apollo 4200 Gen10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</si>
</sst>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2"/>
  <sheetViews>
    <sheetView workbookViewId="0"/>
  </sheetViews>
  <sheetFormatPr baseColWidth="10" defaultColWidth="8.83203125" defaultRowHeight="15" x14ac:dyDescent="0.2"/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t="s">
        <v>44</v>
      </c>
      <c r="B2" t="s">
        <v>45</v>
      </c>
      <c r="C2" t="s">
        <v>46</v>
      </c>
      <c r="D2">
        <v>32</v>
      </c>
      <c r="E2" t="s">
        <v>47</v>
      </c>
      <c r="F2" t="s">
        <v>48</v>
      </c>
      <c r="G2">
        <v>3.8</v>
      </c>
      <c r="H2">
        <v>36144</v>
      </c>
      <c r="I2">
        <v>16</v>
      </c>
      <c r="J2">
        <v>25</v>
      </c>
      <c r="K2">
        <v>25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>
        <v>8317</v>
      </c>
      <c r="R2" t="s">
        <v>54</v>
      </c>
      <c r="T2" t="s">
        <v>55</v>
      </c>
      <c r="U2">
        <v>2</v>
      </c>
      <c r="V2">
        <v>500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63</v>
      </c>
      <c r="AG2" t="s">
        <v>63</v>
      </c>
      <c r="AH2" t="s">
        <v>64</v>
      </c>
      <c r="AI2">
        <v>2</v>
      </c>
      <c r="AJ2" t="s">
        <v>65</v>
      </c>
      <c r="AL2" t="s">
        <v>64</v>
      </c>
      <c r="AM2" t="s">
        <v>66</v>
      </c>
      <c r="AN2" t="s">
        <v>64</v>
      </c>
      <c r="AO2">
        <v>2</v>
      </c>
      <c r="AP2">
        <v>0</v>
      </c>
      <c r="AQ2" t="s">
        <v>67</v>
      </c>
      <c r="AR2" t="s">
        <v>64</v>
      </c>
    </row>
    <row r="3" spans="1:44" x14ac:dyDescent="0.2">
      <c r="A3" t="s">
        <v>68</v>
      </c>
      <c r="B3" t="s">
        <v>69</v>
      </c>
      <c r="C3" t="s">
        <v>46</v>
      </c>
      <c r="D3">
        <v>40</v>
      </c>
      <c r="E3" t="s">
        <v>47</v>
      </c>
      <c r="F3" t="s">
        <v>48</v>
      </c>
      <c r="G3">
        <v>3.8</v>
      </c>
      <c r="H3">
        <v>36144</v>
      </c>
      <c r="I3">
        <v>16</v>
      </c>
      <c r="J3">
        <v>25</v>
      </c>
      <c r="K3">
        <v>25</v>
      </c>
      <c r="L3" t="s">
        <v>49</v>
      </c>
      <c r="M3" t="s">
        <v>50</v>
      </c>
      <c r="N3" t="s">
        <v>51</v>
      </c>
      <c r="O3" t="s">
        <v>52</v>
      </c>
      <c r="P3" t="s">
        <v>70</v>
      </c>
      <c r="Q3">
        <v>8745</v>
      </c>
      <c r="T3" t="s">
        <v>55</v>
      </c>
      <c r="U3">
        <v>2</v>
      </c>
      <c r="V3">
        <v>500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63</v>
      </c>
      <c r="AG3" t="s">
        <v>63</v>
      </c>
      <c r="AH3" t="s">
        <v>64</v>
      </c>
      <c r="AI3">
        <v>2</v>
      </c>
      <c r="AJ3" t="s">
        <v>65</v>
      </c>
      <c r="AL3" t="s">
        <v>64</v>
      </c>
      <c r="AM3" t="s">
        <v>66</v>
      </c>
      <c r="AN3" t="s">
        <v>64</v>
      </c>
      <c r="AO3">
        <v>2</v>
      </c>
      <c r="AP3">
        <v>0</v>
      </c>
      <c r="AQ3" t="s">
        <v>67</v>
      </c>
      <c r="AR3" t="s">
        <v>64</v>
      </c>
    </row>
    <row r="4" spans="1:44" x14ac:dyDescent="0.2">
      <c r="A4" t="s">
        <v>71</v>
      </c>
      <c r="B4" t="s">
        <v>72</v>
      </c>
      <c r="C4" t="s">
        <v>46</v>
      </c>
      <c r="D4">
        <v>48</v>
      </c>
      <c r="E4" t="s">
        <v>47</v>
      </c>
      <c r="F4" t="s">
        <v>48</v>
      </c>
      <c r="G4">
        <v>3.8</v>
      </c>
      <c r="H4">
        <v>36144</v>
      </c>
      <c r="I4">
        <v>16</v>
      </c>
      <c r="J4">
        <v>25</v>
      </c>
      <c r="K4">
        <v>25</v>
      </c>
      <c r="L4" t="s">
        <v>49</v>
      </c>
      <c r="M4" t="s">
        <v>50</v>
      </c>
      <c r="N4" t="s">
        <v>51</v>
      </c>
      <c r="O4" t="s">
        <v>52</v>
      </c>
      <c r="P4" t="s">
        <v>70</v>
      </c>
      <c r="Q4">
        <v>9558</v>
      </c>
      <c r="T4" t="s">
        <v>55</v>
      </c>
      <c r="U4">
        <v>2</v>
      </c>
      <c r="V4">
        <v>500</v>
      </c>
      <c r="W4" t="s">
        <v>56</v>
      </c>
      <c r="X4" t="s">
        <v>57</v>
      </c>
      <c r="Y4" t="s">
        <v>58</v>
      </c>
      <c r="Z4" t="s">
        <v>59</v>
      </c>
      <c r="AA4" t="s">
        <v>60</v>
      </c>
      <c r="AB4" t="s">
        <v>61</v>
      </c>
      <c r="AC4" t="s">
        <v>62</v>
      </c>
      <c r="AD4" t="s">
        <v>63</v>
      </c>
      <c r="AE4" t="s">
        <v>64</v>
      </c>
      <c r="AF4" t="s">
        <v>63</v>
      </c>
      <c r="AG4" t="s">
        <v>63</v>
      </c>
      <c r="AH4" t="s">
        <v>64</v>
      </c>
      <c r="AI4">
        <v>2</v>
      </c>
      <c r="AJ4" t="s">
        <v>65</v>
      </c>
      <c r="AL4" t="s">
        <v>64</v>
      </c>
      <c r="AM4" t="s">
        <v>66</v>
      </c>
      <c r="AN4" t="s">
        <v>64</v>
      </c>
      <c r="AO4">
        <v>2</v>
      </c>
      <c r="AP4">
        <v>0</v>
      </c>
      <c r="AQ4" t="s">
        <v>67</v>
      </c>
      <c r="AR4" t="s">
        <v>64</v>
      </c>
    </row>
    <row r="5" spans="1:44" x14ac:dyDescent="0.2">
      <c r="A5" t="s">
        <v>73</v>
      </c>
      <c r="B5" t="s">
        <v>74</v>
      </c>
      <c r="C5" t="s">
        <v>46</v>
      </c>
      <c r="D5">
        <v>64</v>
      </c>
      <c r="E5" t="s">
        <v>47</v>
      </c>
      <c r="F5" t="s">
        <v>48</v>
      </c>
      <c r="G5">
        <v>3.8</v>
      </c>
      <c r="H5">
        <v>36144</v>
      </c>
      <c r="I5">
        <v>16</v>
      </c>
      <c r="J5">
        <v>100</v>
      </c>
      <c r="K5">
        <v>100</v>
      </c>
      <c r="L5" t="s">
        <v>49</v>
      </c>
      <c r="M5" t="s">
        <v>75</v>
      </c>
      <c r="N5" t="s">
        <v>51</v>
      </c>
      <c r="O5" t="s">
        <v>52</v>
      </c>
      <c r="P5" t="s">
        <v>70</v>
      </c>
      <c r="Q5">
        <v>15657</v>
      </c>
      <c r="T5" t="s">
        <v>55</v>
      </c>
      <c r="U5">
        <v>4</v>
      </c>
      <c r="V5">
        <v>1000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F5" t="s">
        <v>63</v>
      </c>
      <c r="AG5" t="s">
        <v>63</v>
      </c>
      <c r="AH5" t="s">
        <v>63</v>
      </c>
      <c r="AI5">
        <v>4</v>
      </c>
      <c r="AJ5" t="s">
        <v>65</v>
      </c>
      <c r="AK5">
        <v>5</v>
      </c>
      <c r="AL5" t="s">
        <v>76</v>
      </c>
      <c r="AM5" t="s">
        <v>77</v>
      </c>
      <c r="AN5" t="s">
        <v>78</v>
      </c>
      <c r="AO5">
        <v>2</v>
      </c>
      <c r="AP5">
        <v>2</v>
      </c>
      <c r="AQ5" t="s">
        <v>67</v>
      </c>
      <c r="AR5" t="s">
        <v>79</v>
      </c>
    </row>
    <row r="6" spans="1:44" x14ac:dyDescent="0.2">
      <c r="A6" t="s">
        <v>80</v>
      </c>
      <c r="B6" t="s">
        <v>81</v>
      </c>
      <c r="C6" t="s">
        <v>46</v>
      </c>
      <c r="D6">
        <v>80</v>
      </c>
      <c r="E6" t="s">
        <v>47</v>
      </c>
      <c r="F6" t="s">
        <v>48</v>
      </c>
      <c r="G6">
        <v>3.8</v>
      </c>
      <c r="H6">
        <v>36144</v>
      </c>
      <c r="I6">
        <v>16</v>
      </c>
      <c r="J6">
        <v>100</v>
      </c>
      <c r="K6">
        <v>100</v>
      </c>
      <c r="L6" t="s">
        <v>49</v>
      </c>
      <c r="M6" t="s">
        <v>75</v>
      </c>
      <c r="N6" t="s">
        <v>51</v>
      </c>
      <c r="O6" t="s">
        <v>52</v>
      </c>
      <c r="P6" t="s">
        <v>70</v>
      </c>
      <c r="Q6">
        <v>16640</v>
      </c>
      <c r="T6" t="s">
        <v>55</v>
      </c>
      <c r="U6">
        <v>4</v>
      </c>
      <c r="V6">
        <v>1000</v>
      </c>
      <c r="W6" t="s">
        <v>56</v>
      </c>
      <c r="X6" t="s">
        <v>57</v>
      </c>
      <c r="Y6" t="s">
        <v>58</v>
      </c>
      <c r="Z6" t="s">
        <v>59</v>
      </c>
      <c r="AA6" t="s">
        <v>60</v>
      </c>
      <c r="AB6" t="s">
        <v>61</v>
      </c>
      <c r="AC6" t="s">
        <v>62</v>
      </c>
      <c r="AD6" t="s">
        <v>63</v>
      </c>
      <c r="AE6" t="s">
        <v>64</v>
      </c>
      <c r="AF6" t="s">
        <v>63</v>
      </c>
      <c r="AG6" t="s">
        <v>63</v>
      </c>
      <c r="AH6" t="s">
        <v>63</v>
      </c>
      <c r="AI6">
        <v>4</v>
      </c>
      <c r="AJ6" t="s">
        <v>65</v>
      </c>
      <c r="AK6">
        <v>5</v>
      </c>
      <c r="AL6" t="s">
        <v>76</v>
      </c>
      <c r="AM6" t="s">
        <v>77</v>
      </c>
      <c r="AN6" t="s">
        <v>78</v>
      </c>
      <c r="AO6">
        <v>2</v>
      </c>
      <c r="AP6">
        <v>2</v>
      </c>
      <c r="AQ6" t="s">
        <v>67</v>
      </c>
      <c r="AR6" t="s">
        <v>79</v>
      </c>
    </row>
    <row r="7" spans="1:44" x14ac:dyDescent="0.2">
      <c r="A7" t="s">
        <v>82</v>
      </c>
      <c r="B7" t="s">
        <v>83</v>
      </c>
      <c r="C7" t="s">
        <v>46</v>
      </c>
      <c r="D7">
        <v>96</v>
      </c>
      <c r="E7" t="s">
        <v>47</v>
      </c>
      <c r="F7" t="s">
        <v>48</v>
      </c>
      <c r="G7">
        <v>3.8</v>
      </c>
      <c r="H7">
        <v>36144</v>
      </c>
      <c r="I7">
        <v>16</v>
      </c>
      <c r="J7">
        <v>100</v>
      </c>
      <c r="K7">
        <v>100</v>
      </c>
      <c r="L7" t="s">
        <v>49</v>
      </c>
      <c r="M7" t="s">
        <v>75</v>
      </c>
      <c r="N7" t="s">
        <v>51</v>
      </c>
      <c r="O7" t="s">
        <v>52</v>
      </c>
      <c r="P7" t="s">
        <v>70</v>
      </c>
      <c r="Q7">
        <v>18139</v>
      </c>
      <c r="T7" t="s">
        <v>55</v>
      </c>
      <c r="U7">
        <v>4</v>
      </c>
      <c r="V7">
        <v>1000</v>
      </c>
      <c r="W7" t="s">
        <v>56</v>
      </c>
      <c r="X7" t="s">
        <v>57</v>
      </c>
      <c r="Y7" t="s">
        <v>58</v>
      </c>
      <c r="Z7" t="s">
        <v>59</v>
      </c>
      <c r="AA7" t="s">
        <v>60</v>
      </c>
      <c r="AB7" t="s">
        <v>61</v>
      </c>
      <c r="AC7" t="s">
        <v>62</v>
      </c>
      <c r="AD7" t="s">
        <v>63</v>
      </c>
      <c r="AE7" t="s">
        <v>64</v>
      </c>
      <c r="AF7" t="s">
        <v>63</v>
      </c>
      <c r="AG7" t="s">
        <v>63</v>
      </c>
      <c r="AH7" t="s">
        <v>63</v>
      </c>
      <c r="AI7">
        <v>4</v>
      </c>
      <c r="AJ7" t="s">
        <v>65</v>
      </c>
      <c r="AK7">
        <v>5</v>
      </c>
      <c r="AL7" t="s">
        <v>76</v>
      </c>
      <c r="AM7" t="s">
        <v>77</v>
      </c>
      <c r="AN7" t="s">
        <v>78</v>
      </c>
      <c r="AO7">
        <v>2</v>
      </c>
      <c r="AP7">
        <v>2</v>
      </c>
      <c r="AQ7" t="s">
        <v>67</v>
      </c>
      <c r="AR7" t="s">
        <v>79</v>
      </c>
    </row>
    <row r="8" spans="1:44" x14ac:dyDescent="0.2">
      <c r="A8" t="s">
        <v>84</v>
      </c>
      <c r="B8" t="s">
        <v>85</v>
      </c>
      <c r="C8" t="s">
        <v>86</v>
      </c>
      <c r="D8">
        <v>128</v>
      </c>
      <c r="E8" t="s">
        <v>87</v>
      </c>
      <c r="F8" t="s">
        <v>88</v>
      </c>
      <c r="G8">
        <v>3.3</v>
      </c>
      <c r="H8">
        <v>48936</v>
      </c>
      <c r="I8">
        <v>16</v>
      </c>
      <c r="J8">
        <v>200</v>
      </c>
      <c r="K8">
        <v>200</v>
      </c>
      <c r="L8" t="s">
        <v>89</v>
      </c>
      <c r="M8" t="s">
        <v>75</v>
      </c>
      <c r="N8" t="s">
        <v>51</v>
      </c>
      <c r="O8" t="s">
        <v>52</v>
      </c>
      <c r="P8" t="s">
        <v>70</v>
      </c>
      <c r="Q8">
        <v>24975</v>
      </c>
      <c r="T8" t="s">
        <v>90</v>
      </c>
      <c r="U8">
        <v>8</v>
      </c>
      <c r="V8">
        <v>2000</v>
      </c>
      <c r="W8" t="s">
        <v>91</v>
      </c>
      <c r="X8" t="s">
        <v>57</v>
      </c>
      <c r="Y8" t="s">
        <v>92</v>
      </c>
      <c r="Z8" t="s">
        <v>93</v>
      </c>
      <c r="AA8" t="s">
        <v>88</v>
      </c>
      <c r="AB8" t="s">
        <v>94</v>
      </c>
      <c r="AC8" t="s">
        <v>95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>
        <v>8</v>
      </c>
      <c r="AJ8" t="s">
        <v>65</v>
      </c>
      <c r="AK8">
        <v>6</v>
      </c>
      <c r="AL8" t="s">
        <v>76</v>
      </c>
      <c r="AM8" t="s">
        <v>77</v>
      </c>
      <c r="AN8" t="s">
        <v>78</v>
      </c>
      <c r="AO8">
        <v>0</v>
      </c>
      <c r="AP8">
        <v>4</v>
      </c>
      <c r="AQ8" t="s">
        <v>79</v>
      </c>
      <c r="AR8" t="s">
        <v>79</v>
      </c>
    </row>
    <row r="9" spans="1:44" x14ac:dyDescent="0.2">
      <c r="A9" t="s">
        <v>96</v>
      </c>
      <c r="B9" t="s">
        <v>97</v>
      </c>
      <c r="C9" t="s">
        <v>86</v>
      </c>
      <c r="D9">
        <v>160</v>
      </c>
      <c r="E9" t="s">
        <v>87</v>
      </c>
      <c r="F9" t="s">
        <v>88</v>
      </c>
      <c r="G9">
        <v>3.3</v>
      </c>
      <c r="H9">
        <v>48936</v>
      </c>
      <c r="I9">
        <v>16</v>
      </c>
      <c r="J9">
        <v>200</v>
      </c>
      <c r="K9">
        <v>200</v>
      </c>
      <c r="L9" t="s">
        <v>89</v>
      </c>
      <c r="M9" t="s">
        <v>75</v>
      </c>
      <c r="N9" t="s">
        <v>51</v>
      </c>
      <c r="O9" t="s">
        <v>52</v>
      </c>
      <c r="P9" t="s">
        <v>70</v>
      </c>
      <c r="Q9">
        <v>26910</v>
      </c>
      <c r="T9" t="s">
        <v>90</v>
      </c>
      <c r="U9">
        <v>8</v>
      </c>
      <c r="V9">
        <v>2000</v>
      </c>
      <c r="W9" t="s">
        <v>91</v>
      </c>
      <c r="X9" t="s">
        <v>57</v>
      </c>
      <c r="Y9" t="s">
        <v>92</v>
      </c>
      <c r="Z9" t="s">
        <v>93</v>
      </c>
      <c r="AA9" t="s">
        <v>88</v>
      </c>
      <c r="AB9" t="s">
        <v>94</v>
      </c>
      <c r="AC9" t="s">
        <v>95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>
        <v>8</v>
      </c>
      <c r="AJ9" t="s">
        <v>65</v>
      </c>
      <c r="AK9">
        <v>6</v>
      </c>
      <c r="AL9" t="s">
        <v>76</v>
      </c>
      <c r="AM9" t="s">
        <v>77</v>
      </c>
      <c r="AN9" t="s">
        <v>78</v>
      </c>
      <c r="AO9">
        <v>0</v>
      </c>
      <c r="AP9">
        <v>4</v>
      </c>
      <c r="AQ9" t="s">
        <v>79</v>
      </c>
      <c r="AR9" t="s">
        <v>79</v>
      </c>
    </row>
    <row r="10" spans="1:44" x14ac:dyDescent="0.2">
      <c r="A10" t="s">
        <v>98</v>
      </c>
      <c r="B10" t="s">
        <v>99</v>
      </c>
      <c r="C10" t="s">
        <v>86</v>
      </c>
      <c r="D10">
        <v>192</v>
      </c>
      <c r="E10" t="s">
        <v>87</v>
      </c>
      <c r="F10" t="s">
        <v>88</v>
      </c>
      <c r="G10">
        <v>3.3</v>
      </c>
      <c r="H10">
        <v>48936</v>
      </c>
      <c r="I10">
        <v>16</v>
      </c>
      <c r="J10">
        <v>200</v>
      </c>
      <c r="K10">
        <v>200</v>
      </c>
      <c r="L10" t="s">
        <v>89</v>
      </c>
      <c r="M10" t="s">
        <v>75</v>
      </c>
      <c r="N10" t="s">
        <v>51</v>
      </c>
      <c r="O10" t="s">
        <v>52</v>
      </c>
      <c r="P10" t="s">
        <v>70</v>
      </c>
      <c r="Q10">
        <v>29861</v>
      </c>
      <c r="T10" t="s">
        <v>90</v>
      </c>
      <c r="U10">
        <v>8</v>
      </c>
      <c r="V10">
        <v>2000</v>
      </c>
      <c r="W10" t="s">
        <v>91</v>
      </c>
      <c r="X10" t="s">
        <v>57</v>
      </c>
      <c r="Y10" t="s">
        <v>92</v>
      </c>
      <c r="Z10" t="s">
        <v>93</v>
      </c>
      <c r="AA10" t="s">
        <v>88</v>
      </c>
      <c r="AB10" t="s">
        <v>94</v>
      </c>
      <c r="AC10" t="s">
        <v>95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>
        <v>8</v>
      </c>
      <c r="AJ10" t="s">
        <v>65</v>
      </c>
      <c r="AK10">
        <v>6</v>
      </c>
      <c r="AL10" t="s">
        <v>76</v>
      </c>
      <c r="AM10" t="s">
        <v>77</v>
      </c>
      <c r="AN10" t="s">
        <v>78</v>
      </c>
      <c r="AO10">
        <v>0</v>
      </c>
      <c r="AP10">
        <v>4</v>
      </c>
      <c r="AQ10" t="s">
        <v>79</v>
      </c>
      <c r="AR10" t="s">
        <v>79</v>
      </c>
    </row>
    <row r="11" spans="1:44" x14ac:dyDescent="0.2">
      <c r="A11" t="s">
        <v>100</v>
      </c>
      <c r="B11" t="s">
        <v>101</v>
      </c>
      <c r="C11" t="s">
        <v>86</v>
      </c>
      <c r="D11">
        <v>192</v>
      </c>
      <c r="E11" t="s">
        <v>87</v>
      </c>
      <c r="F11" t="s">
        <v>88</v>
      </c>
      <c r="G11">
        <v>3.3</v>
      </c>
      <c r="H11">
        <v>48936</v>
      </c>
      <c r="I11">
        <v>32</v>
      </c>
      <c r="J11">
        <v>275</v>
      </c>
      <c r="K11">
        <v>275</v>
      </c>
      <c r="L11" t="s">
        <v>89</v>
      </c>
      <c r="M11" t="s">
        <v>75</v>
      </c>
      <c r="N11" t="s">
        <v>51</v>
      </c>
      <c r="O11" t="s">
        <v>52</v>
      </c>
      <c r="P11" t="s">
        <v>70</v>
      </c>
      <c r="Q11">
        <v>32978</v>
      </c>
      <c r="T11" t="s">
        <v>90</v>
      </c>
      <c r="U11">
        <v>12</v>
      </c>
      <c r="V11">
        <v>3000</v>
      </c>
      <c r="W11" t="s">
        <v>91</v>
      </c>
      <c r="X11" t="s">
        <v>102</v>
      </c>
      <c r="Y11" t="s">
        <v>92</v>
      </c>
      <c r="Z11" t="s">
        <v>93</v>
      </c>
      <c r="AA11" t="s">
        <v>88</v>
      </c>
      <c r="AB11" t="s">
        <v>94</v>
      </c>
      <c r="AC11" t="s">
        <v>95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>
        <v>12</v>
      </c>
      <c r="AJ11" t="s">
        <v>65</v>
      </c>
      <c r="AK11">
        <v>6</v>
      </c>
      <c r="AL11" t="s">
        <v>76</v>
      </c>
      <c r="AM11" t="s">
        <v>77</v>
      </c>
      <c r="AN11" t="s">
        <v>78</v>
      </c>
      <c r="AO11">
        <v>0</v>
      </c>
      <c r="AP11">
        <v>4</v>
      </c>
      <c r="AQ11" t="s">
        <v>79</v>
      </c>
      <c r="AR11" t="s">
        <v>79</v>
      </c>
    </row>
    <row r="12" spans="1:44" x14ac:dyDescent="0.2">
      <c r="A12" t="s">
        <v>103</v>
      </c>
      <c r="B12" t="s">
        <v>104</v>
      </c>
      <c r="C12" t="s">
        <v>86</v>
      </c>
      <c r="D12">
        <v>240</v>
      </c>
      <c r="E12" t="s">
        <v>87</v>
      </c>
      <c r="F12" t="s">
        <v>88</v>
      </c>
      <c r="G12">
        <v>3.3</v>
      </c>
      <c r="H12">
        <v>48936</v>
      </c>
      <c r="I12">
        <v>32</v>
      </c>
      <c r="J12">
        <v>275</v>
      </c>
      <c r="K12">
        <v>275</v>
      </c>
      <c r="L12" t="s">
        <v>89</v>
      </c>
      <c r="M12" t="s">
        <v>75</v>
      </c>
      <c r="N12" t="s">
        <v>51</v>
      </c>
      <c r="O12" t="s">
        <v>52</v>
      </c>
      <c r="P12" t="s">
        <v>70</v>
      </c>
      <c r="Q12">
        <v>35926</v>
      </c>
      <c r="T12" t="s">
        <v>90</v>
      </c>
      <c r="U12">
        <v>12</v>
      </c>
      <c r="V12">
        <v>3000</v>
      </c>
      <c r="W12" t="s">
        <v>91</v>
      </c>
      <c r="X12" t="s">
        <v>102</v>
      </c>
      <c r="Y12" t="s">
        <v>92</v>
      </c>
      <c r="Z12" t="s">
        <v>93</v>
      </c>
      <c r="AA12" t="s">
        <v>88</v>
      </c>
      <c r="AB12" t="s">
        <v>94</v>
      </c>
      <c r="AC12" t="s">
        <v>95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>
        <v>12</v>
      </c>
      <c r="AJ12" t="s">
        <v>65</v>
      </c>
      <c r="AK12">
        <v>6</v>
      </c>
      <c r="AL12" t="s">
        <v>76</v>
      </c>
      <c r="AM12" t="s">
        <v>77</v>
      </c>
      <c r="AN12" t="s">
        <v>78</v>
      </c>
      <c r="AO12">
        <v>0</v>
      </c>
      <c r="AP12">
        <v>4</v>
      </c>
      <c r="AQ12" t="s">
        <v>79</v>
      </c>
      <c r="AR12" t="s">
        <v>79</v>
      </c>
    </row>
    <row r="13" spans="1:44" x14ac:dyDescent="0.2">
      <c r="A13" t="s">
        <v>105</v>
      </c>
      <c r="B13" t="s">
        <v>106</v>
      </c>
      <c r="C13" t="s">
        <v>86</v>
      </c>
      <c r="D13">
        <v>288</v>
      </c>
      <c r="E13" t="s">
        <v>87</v>
      </c>
      <c r="F13" t="s">
        <v>88</v>
      </c>
      <c r="G13">
        <v>3.3</v>
      </c>
      <c r="H13">
        <v>48936</v>
      </c>
      <c r="I13">
        <v>32</v>
      </c>
      <c r="J13">
        <v>275</v>
      </c>
      <c r="K13">
        <v>275</v>
      </c>
      <c r="L13" t="s">
        <v>89</v>
      </c>
      <c r="M13" t="s">
        <v>75</v>
      </c>
      <c r="N13" t="s">
        <v>51</v>
      </c>
      <c r="O13" t="s">
        <v>52</v>
      </c>
      <c r="P13" t="s">
        <v>70</v>
      </c>
      <c r="Q13">
        <v>40425</v>
      </c>
      <c r="T13" t="s">
        <v>90</v>
      </c>
      <c r="U13">
        <v>12</v>
      </c>
      <c r="V13">
        <v>3000</v>
      </c>
      <c r="W13" t="s">
        <v>91</v>
      </c>
      <c r="X13" t="s">
        <v>102</v>
      </c>
      <c r="Y13" t="s">
        <v>92</v>
      </c>
      <c r="Z13" t="s">
        <v>93</v>
      </c>
      <c r="AA13" t="s">
        <v>88</v>
      </c>
      <c r="AB13" t="s">
        <v>94</v>
      </c>
      <c r="AC13" t="s">
        <v>95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>
        <v>12</v>
      </c>
      <c r="AJ13" t="s">
        <v>65</v>
      </c>
      <c r="AK13">
        <v>6</v>
      </c>
      <c r="AL13" t="s">
        <v>76</v>
      </c>
      <c r="AM13" t="s">
        <v>77</v>
      </c>
      <c r="AN13" t="s">
        <v>78</v>
      </c>
      <c r="AO13">
        <v>0</v>
      </c>
      <c r="AP13">
        <v>4</v>
      </c>
      <c r="AQ13" t="s">
        <v>79</v>
      </c>
      <c r="AR13" t="s">
        <v>79</v>
      </c>
    </row>
    <row r="14" spans="1:44" x14ac:dyDescent="0.2">
      <c r="A14" t="s">
        <v>107</v>
      </c>
      <c r="B14" t="s">
        <v>108</v>
      </c>
      <c r="C14" t="s">
        <v>109</v>
      </c>
      <c r="D14">
        <v>256</v>
      </c>
      <c r="E14" t="s">
        <v>87</v>
      </c>
      <c r="F14" t="s">
        <v>88</v>
      </c>
      <c r="G14">
        <v>3.3</v>
      </c>
      <c r="H14">
        <v>48936</v>
      </c>
      <c r="I14">
        <v>32</v>
      </c>
      <c r="J14">
        <v>275</v>
      </c>
      <c r="K14">
        <v>275</v>
      </c>
      <c r="L14" t="s">
        <v>89</v>
      </c>
      <c r="M14" t="s">
        <v>75</v>
      </c>
      <c r="N14" t="s">
        <v>51</v>
      </c>
      <c r="O14" t="s">
        <v>52</v>
      </c>
      <c r="P14" t="s">
        <v>70</v>
      </c>
      <c r="Q14">
        <v>37728</v>
      </c>
      <c r="T14" t="s">
        <v>110</v>
      </c>
      <c r="U14">
        <v>16</v>
      </c>
      <c r="V14">
        <v>3000</v>
      </c>
      <c r="W14" t="s">
        <v>91</v>
      </c>
      <c r="X14" t="s">
        <v>102</v>
      </c>
      <c r="Y14" t="s">
        <v>92</v>
      </c>
      <c r="Z14" t="s">
        <v>93</v>
      </c>
      <c r="AA14" t="s">
        <v>88</v>
      </c>
      <c r="AB14" t="s">
        <v>94</v>
      </c>
      <c r="AC14" t="s">
        <v>95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>
        <v>16</v>
      </c>
      <c r="AJ14" t="s">
        <v>65</v>
      </c>
      <c r="AK14">
        <v>6</v>
      </c>
      <c r="AL14" t="s">
        <v>76</v>
      </c>
      <c r="AM14" t="s">
        <v>77</v>
      </c>
      <c r="AN14" t="s">
        <v>78</v>
      </c>
      <c r="AO14">
        <v>0</v>
      </c>
      <c r="AP14">
        <v>4</v>
      </c>
      <c r="AQ14" t="s">
        <v>79</v>
      </c>
      <c r="AR14" t="s">
        <v>79</v>
      </c>
    </row>
    <row r="15" spans="1:44" x14ac:dyDescent="0.2">
      <c r="A15" t="s">
        <v>111</v>
      </c>
      <c r="B15" t="s">
        <v>112</v>
      </c>
      <c r="C15" t="s">
        <v>109</v>
      </c>
      <c r="D15">
        <v>320</v>
      </c>
      <c r="E15" t="s">
        <v>87</v>
      </c>
      <c r="F15" t="s">
        <v>88</v>
      </c>
      <c r="G15">
        <v>3.3</v>
      </c>
      <c r="H15">
        <v>48936</v>
      </c>
      <c r="I15">
        <v>32</v>
      </c>
      <c r="J15">
        <v>275</v>
      </c>
      <c r="K15">
        <v>275</v>
      </c>
      <c r="L15" t="s">
        <v>89</v>
      </c>
      <c r="M15" t="s">
        <v>75</v>
      </c>
      <c r="N15" t="s">
        <v>51</v>
      </c>
      <c r="O15" t="s">
        <v>52</v>
      </c>
      <c r="P15" t="s">
        <v>70</v>
      </c>
      <c r="Q15">
        <v>41659</v>
      </c>
      <c r="T15" t="s">
        <v>110</v>
      </c>
      <c r="U15">
        <v>16</v>
      </c>
      <c r="V15">
        <v>3000</v>
      </c>
      <c r="W15" t="s">
        <v>91</v>
      </c>
      <c r="X15" t="s">
        <v>102</v>
      </c>
      <c r="Y15" t="s">
        <v>92</v>
      </c>
      <c r="Z15" t="s">
        <v>93</v>
      </c>
      <c r="AA15" t="s">
        <v>88</v>
      </c>
      <c r="AB15" t="s">
        <v>94</v>
      </c>
      <c r="AC15" t="s">
        <v>95</v>
      </c>
      <c r="AD15" t="s">
        <v>63</v>
      </c>
      <c r="AE15" t="s">
        <v>63</v>
      </c>
      <c r="AF15" t="s">
        <v>63</v>
      </c>
      <c r="AG15" t="s">
        <v>63</v>
      </c>
      <c r="AH15" t="s">
        <v>63</v>
      </c>
      <c r="AI15">
        <v>16</v>
      </c>
      <c r="AJ15" t="s">
        <v>65</v>
      </c>
      <c r="AK15">
        <v>6</v>
      </c>
      <c r="AL15" t="s">
        <v>76</v>
      </c>
      <c r="AM15" t="s">
        <v>77</v>
      </c>
      <c r="AN15" t="s">
        <v>78</v>
      </c>
      <c r="AO15">
        <v>0</v>
      </c>
      <c r="AP15">
        <v>4</v>
      </c>
      <c r="AQ15" t="s">
        <v>79</v>
      </c>
      <c r="AR15" t="s">
        <v>79</v>
      </c>
    </row>
    <row r="16" spans="1:44" x14ac:dyDescent="0.2">
      <c r="A16" t="s">
        <v>113</v>
      </c>
      <c r="B16" t="s">
        <v>114</v>
      </c>
      <c r="C16" t="s">
        <v>109</v>
      </c>
      <c r="D16">
        <v>384</v>
      </c>
      <c r="E16" t="s">
        <v>87</v>
      </c>
      <c r="F16" t="s">
        <v>88</v>
      </c>
      <c r="G16">
        <v>3.3</v>
      </c>
      <c r="H16">
        <v>48936</v>
      </c>
      <c r="I16">
        <v>32</v>
      </c>
      <c r="J16">
        <v>275</v>
      </c>
      <c r="K16">
        <v>275</v>
      </c>
      <c r="L16" t="s">
        <v>89</v>
      </c>
      <c r="M16" t="s">
        <v>75</v>
      </c>
      <c r="N16" t="s">
        <v>51</v>
      </c>
      <c r="O16" t="s">
        <v>52</v>
      </c>
      <c r="P16" t="s">
        <v>70</v>
      </c>
      <c r="Q16">
        <v>47657</v>
      </c>
      <c r="T16" t="s">
        <v>110</v>
      </c>
      <c r="U16">
        <v>16</v>
      </c>
      <c r="V16">
        <v>3000</v>
      </c>
      <c r="W16" t="s">
        <v>91</v>
      </c>
      <c r="X16" t="s">
        <v>102</v>
      </c>
      <c r="Y16" t="s">
        <v>92</v>
      </c>
      <c r="Z16" t="s">
        <v>93</v>
      </c>
      <c r="AA16" t="s">
        <v>88</v>
      </c>
      <c r="AB16" t="s">
        <v>94</v>
      </c>
      <c r="AC16" t="s">
        <v>95</v>
      </c>
      <c r="AD16" t="s">
        <v>63</v>
      </c>
      <c r="AE16" t="s">
        <v>63</v>
      </c>
      <c r="AF16" t="s">
        <v>63</v>
      </c>
      <c r="AG16" t="s">
        <v>63</v>
      </c>
      <c r="AH16" t="s">
        <v>63</v>
      </c>
      <c r="AI16">
        <v>16</v>
      </c>
      <c r="AJ16" t="s">
        <v>65</v>
      </c>
      <c r="AK16">
        <v>6</v>
      </c>
      <c r="AL16" t="s">
        <v>76</v>
      </c>
      <c r="AM16" t="s">
        <v>77</v>
      </c>
      <c r="AN16" t="s">
        <v>78</v>
      </c>
      <c r="AO16">
        <v>0</v>
      </c>
      <c r="AP16">
        <v>4</v>
      </c>
      <c r="AQ16" t="s">
        <v>79</v>
      </c>
      <c r="AR16" t="s">
        <v>79</v>
      </c>
    </row>
    <row r="17" spans="1:44" x14ac:dyDescent="0.2">
      <c r="A17" t="s">
        <v>115</v>
      </c>
      <c r="B17" t="s">
        <v>116</v>
      </c>
      <c r="C17" t="s">
        <v>117</v>
      </c>
      <c r="D17">
        <v>384</v>
      </c>
      <c r="E17" t="s">
        <v>87</v>
      </c>
      <c r="F17" t="s">
        <v>88</v>
      </c>
      <c r="G17">
        <v>4.3</v>
      </c>
      <c r="H17">
        <v>56984</v>
      </c>
      <c r="I17">
        <v>32</v>
      </c>
      <c r="J17">
        <v>325</v>
      </c>
      <c r="K17">
        <v>325</v>
      </c>
      <c r="L17" t="s">
        <v>89</v>
      </c>
      <c r="M17" t="s">
        <v>75</v>
      </c>
      <c r="N17" t="s">
        <v>51</v>
      </c>
      <c r="O17" t="s">
        <v>52</v>
      </c>
      <c r="P17" t="s">
        <v>70</v>
      </c>
      <c r="Q17">
        <v>48615</v>
      </c>
      <c r="T17" t="s">
        <v>118</v>
      </c>
      <c r="U17">
        <v>24</v>
      </c>
      <c r="V17">
        <v>4000</v>
      </c>
      <c r="W17" t="s">
        <v>91</v>
      </c>
      <c r="X17" t="s">
        <v>102</v>
      </c>
      <c r="Y17" t="s">
        <v>119</v>
      </c>
      <c r="Z17" t="s">
        <v>120</v>
      </c>
      <c r="AA17" t="s">
        <v>88</v>
      </c>
      <c r="AB17" t="s">
        <v>94</v>
      </c>
      <c r="AC17" t="s">
        <v>95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>
        <v>24</v>
      </c>
      <c r="AJ17" t="s">
        <v>65</v>
      </c>
      <c r="AK17">
        <v>60</v>
      </c>
      <c r="AL17" t="s">
        <v>76</v>
      </c>
      <c r="AM17" t="s">
        <v>77</v>
      </c>
      <c r="AN17" t="s">
        <v>78</v>
      </c>
      <c r="AO17">
        <v>0</v>
      </c>
      <c r="AP17">
        <v>4</v>
      </c>
      <c r="AQ17" t="s">
        <v>79</v>
      </c>
      <c r="AR17" t="s">
        <v>79</v>
      </c>
    </row>
    <row r="18" spans="1:44" x14ac:dyDescent="0.2">
      <c r="A18" t="s">
        <v>121</v>
      </c>
      <c r="B18" t="s">
        <v>122</v>
      </c>
      <c r="C18" t="s">
        <v>117</v>
      </c>
      <c r="D18">
        <v>480</v>
      </c>
      <c r="E18" t="s">
        <v>87</v>
      </c>
      <c r="F18" t="s">
        <v>88</v>
      </c>
      <c r="G18">
        <v>4.3</v>
      </c>
      <c r="H18">
        <v>56984</v>
      </c>
      <c r="I18">
        <v>32</v>
      </c>
      <c r="J18">
        <v>325</v>
      </c>
      <c r="K18">
        <v>325</v>
      </c>
      <c r="L18" t="s">
        <v>89</v>
      </c>
      <c r="M18" t="s">
        <v>75</v>
      </c>
      <c r="N18" t="s">
        <v>51</v>
      </c>
      <c r="O18" t="s">
        <v>52</v>
      </c>
      <c r="P18" t="s">
        <v>70</v>
      </c>
      <c r="Q18">
        <v>54512</v>
      </c>
      <c r="T18" t="s">
        <v>118</v>
      </c>
      <c r="U18">
        <v>24</v>
      </c>
      <c r="V18">
        <v>4000</v>
      </c>
      <c r="W18" t="s">
        <v>91</v>
      </c>
      <c r="X18" t="s">
        <v>102</v>
      </c>
      <c r="Y18" t="s">
        <v>119</v>
      </c>
      <c r="Z18" t="s">
        <v>120</v>
      </c>
      <c r="AA18" t="s">
        <v>88</v>
      </c>
      <c r="AB18" t="s">
        <v>94</v>
      </c>
      <c r="AC18" t="s">
        <v>95</v>
      </c>
      <c r="AD18" t="s">
        <v>63</v>
      </c>
      <c r="AE18" t="s">
        <v>63</v>
      </c>
      <c r="AF18" t="s">
        <v>63</v>
      </c>
      <c r="AG18" t="s">
        <v>63</v>
      </c>
      <c r="AH18" t="s">
        <v>63</v>
      </c>
      <c r="AI18">
        <v>24</v>
      </c>
      <c r="AJ18" t="s">
        <v>65</v>
      </c>
      <c r="AK18">
        <v>60</v>
      </c>
      <c r="AL18" t="s">
        <v>76</v>
      </c>
      <c r="AM18" t="s">
        <v>77</v>
      </c>
      <c r="AN18" t="s">
        <v>78</v>
      </c>
      <c r="AO18">
        <v>0</v>
      </c>
      <c r="AP18">
        <v>4</v>
      </c>
      <c r="AQ18" t="s">
        <v>79</v>
      </c>
      <c r="AR18" t="s">
        <v>79</v>
      </c>
    </row>
    <row r="19" spans="1:44" x14ac:dyDescent="0.2">
      <c r="A19" t="s">
        <v>123</v>
      </c>
      <c r="B19" t="s">
        <v>124</v>
      </c>
      <c r="C19" t="s">
        <v>117</v>
      </c>
      <c r="D19">
        <v>576</v>
      </c>
      <c r="E19" t="s">
        <v>87</v>
      </c>
      <c r="F19" t="s">
        <v>88</v>
      </c>
      <c r="G19">
        <v>4.3</v>
      </c>
      <c r="H19">
        <v>56984</v>
      </c>
      <c r="I19">
        <v>32</v>
      </c>
      <c r="J19">
        <v>325</v>
      </c>
      <c r="K19">
        <v>325</v>
      </c>
      <c r="L19" t="s">
        <v>89</v>
      </c>
      <c r="M19" t="s">
        <v>75</v>
      </c>
      <c r="N19" t="s">
        <v>51</v>
      </c>
      <c r="O19" t="s">
        <v>52</v>
      </c>
      <c r="P19" t="s">
        <v>70</v>
      </c>
      <c r="Q19">
        <v>63509</v>
      </c>
      <c r="T19" t="s">
        <v>118</v>
      </c>
      <c r="U19">
        <v>24</v>
      </c>
      <c r="V19">
        <v>4000</v>
      </c>
      <c r="W19" t="s">
        <v>91</v>
      </c>
      <c r="X19" t="s">
        <v>102</v>
      </c>
      <c r="Y19" t="s">
        <v>119</v>
      </c>
      <c r="Z19" t="s">
        <v>120</v>
      </c>
      <c r="AA19" t="s">
        <v>88</v>
      </c>
      <c r="AB19" t="s">
        <v>94</v>
      </c>
      <c r="AC19" t="s">
        <v>95</v>
      </c>
      <c r="AD19" t="s">
        <v>63</v>
      </c>
      <c r="AE19" t="s">
        <v>63</v>
      </c>
      <c r="AF19" t="s">
        <v>63</v>
      </c>
      <c r="AG19" t="s">
        <v>63</v>
      </c>
      <c r="AH19" t="s">
        <v>63</v>
      </c>
      <c r="AI19">
        <v>24</v>
      </c>
      <c r="AJ19" t="s">
        <v>65</v>
      </c>
      <c r="AK19">
        <v>60</v>
      </c>
      <c r="AL19" t="s">
        <v>76</v>
      </c>
      <c r="AM19" t="s">
        <v>77</v>
      </c>
      <c r="AN19" t="s">
        <v>78</v>
      </c>
      <c r="AO19">
        <v>0</v>
      </c>
      <c r="AP19">
        <v>4</v>
      </c>
      <c r="AQ19" t="s">
        <v>79</v>
      </c>
      <c r="AR19" t="s">
        <v>79</v>
      </c>
    </row>
    <row r="20" spans="1:44" x14ac:dyDescent="0.2">
      <c r="A20" t="s">
        <v>125</v>
      </c>
      <c r="B20" t="s">
        <v>126</v>
      </c>
      <c r="C20" t="s">
        <v>117</v>
      </c>
      <c r="D20">
        <v>576</v>
      </c>
      <c r="E20" t="s">
        <v>87</v>
      </c>
      <c r="F20" t="s">
        <v>88</v>
      </c>
      <c r="G20">
        <v>4.3</v>
      </c>
      <c r="H20">
        <v>56984</v>
      </c>
      <c r="I20">
        <v>32</v>
      </c>
      <c r="J20">
        <v>325</v>
      </c>
      <c r="K20">
        <v>325</v>
      </c>
      <c r="L20" t="s">
        <v>89</v>
      </c>
      <c r="M20" t="s">
        <v>75</v>
      </c>
      <c r="N20" t="s">
        <v>51</v>
      </c>
      <c r="O20" t="s">
        <v>52</v>
      </c>
      <c r="P20" t="s">
        <v>70</v>
      </c>
      <c r="Q20">
        <v>64922</v>
      </c>
      <c r="T20" t="s">
        <v>118</v>
      </c>
      <c r="U20">
        <v>36</v>
      </c>
      <c r="V20">
        <v>4000</v>
      </c>
      <c r="W20" t="s">
        <v>91</v>
      </c>
      <c r="X20" t="s">
        <v>102</v>
      </c>
      <c r="Y20" t="s">
        <v>119</v>
      </c>
      <c r="Z20" t="s">
        <v>120</v>
      </c>
      <c r="AA20" t="s">
        <v>88</v>
      </c>
      <c r="AB20" t="s">
        <v>94</v>
      </c>
      <c r="AC20" t="s">
        <v>95</v>
      </c>
      <c r="AD20" t="s">
        <v>63</v>
      </c>
      <c r="AE20" t="s">
        <v>63</v>
      </c>
      <c r="AF20" t="s">
        <v>63</v>
      </c>
      <c r="AG20" t="s">
        <v>63</v>
      </c>
      <c r="AH20" t="s">
        <v>63</v>
      </c>
      <c r="AI20">
        <v>36</v>
      </c>
      <c r="AJ20" t="s">
        <v>65</v>
      </c>
      <c r="AK20">
        <v>60</v>
      </c>
      <c r="AL20" t="s">
        <v>76</v>
      </c>
      <c r="AM20" t="s">
        <v>77</v>
      </c>
      <c r="AN20" t="s">
        <v>78</v>
      </c>
      <c r="AO20">
        <v>0</v>
      </c>
      <c r="AP20">
        <v>4</v>
      </c>
      <c r="AQ20" t="s">
        <v>79</v>
      </c>
      <c r="AR20" t="s">
        <v>79</v>
      </c>
    </row>
    <row r="21" spans="1:44" x14ac:dyDescent="0.2">
      <c r="A21" t="s">
        <v>127</v>
      </c>
      <c r="B21" t="s">
        <v>128</v>
      </c>
      <c r="C21" t="s">
        <v>117</v>
      </c>
      <c r="D21">
        <v>720</v>
      </c>
      <c r="E21" t="s">
        <v>87</v>
      </c>
      <c r="F21" t="s">
        <v>88</v>
      </c>
      <c r="G21">
        <v>4.3</v>
      </c>
      <c r="H21">
        <v>56984</v>
      </c>
      <c r="I21">
        <v>32</v>
      </c>
      <c r="J21">
        <v>325</v>
      </c>
      <c r="K21">
        <v>325</v>
      </c>
      <c r="L21" t="s">
        <v>89</v>
      </c>
      <c r="M21" t="s">
        <v>75</v>
      </c>
      <c r="N21" t="s">
        <v>51</v>
      </c>
      <c r="O21" t="s">
        <v>52</v>
      </c>
      <c r="P21" t="s">
        <v>70</v>
      </c>
      <c r="Q21">
        <v>74048</v>
      </c>
      <c r="T21" t="s">
        <v>118</v>
      </c>
      <c r="U21">
        <v>36</v>
      </c>
      <c r="V21">
        <v>4000</v>
      </c>
      <c r="W21" t="s">
        <v>91</v>
      </c>
      <c r="X21" t="s">
        <v>102</v>
      </c>
      <c r="Y21" t="s">
        <v>119</v>
      </c>
      <c r="Z21" t="s">
        <v>120</v>
      </c>
      <c r="AA21" t="s">
        <v>88</v>
      </c>
      <c r="AB21" t="s">
        <v>94</v>
      </c>
      <c r="AC21" t="s">
        <v>95</v>
      </c>
      <c r="AD21" t="s">
        <v>63</v>
      </c>
      <c r="AE21" t="s">
        <v>63</v>
      </c>
      <c r="AF21" t="s">
        <v>63</v>
      </c>
      <c r="AG21" t="s">
        <v>63</v>
      </c>
      <c r="AH21" t="s">
        <v>63</v>
      </c>
      <c r="AI21">
        <v>36</v>
      </c>
      <c r="AJ21" t="s">
        <v>65</v>
      </c>
      <c r="AK21">
        <v>60</v>
      </c>
      <c r="AL21" t="s">
        <v>76</v>
      </c>
      <c r="AM21" t="s">
        <v>77</v>
      </c>
      <c r="AN21" t="s">
        <v>78</v>
      </c>
      <c r="AO21">
        <v>0</v>
      </c>
      <c r="AP21">
        <v>4</v>
      </c>
      <c r="AQ21" t="s">
        <v>79</v>
      </c>
      <c r="AR21" t="s">
        <v>79</v>
      </c>
    </row>
    <row r="22" spans="1:44" x14ac:dyDescent="0.2">
      <c r="A22" t="s">
        <v>129</v>
      </c>
      <c r="B22" t="s">
        <v>130</v>
      </c>
      <c r="C22" t="s">
        <v>117</v>
      </c>
      <c r="D22">
        <v>864</v>
      </c>
      <c r="E22" t="s">
        <v>87</v>
      </c>
      <c r="F22" t="s">
        <v>88</v>
      </c>
      <c r="G22">
        <v>4.3</v>
      </c>
      <c r="H22">
        <v>56984</v>
      </c>
      <c r="I22">
        <v>32</v>
      </c>
      <c r="J22">
        <v>325</v>
      </c>
      <c r="K22">
        <v>325</v>
      </c>
      <c r="L22" t="s">
        <v>89</v>
      </c>
      <c r="M22" t="s">
        <v>75</v>
      </c>
      <c r="N22" t="s">
        <v>51</v>
      </c>
      <c r="O22" t="s">
        <v>52</v>
      </c>
      <c r="P22" t="s">
        <v>70</v>
      </c>
      <c r="Q22">
        <v>87971</v>
      </c>
      <c r="T22" t="s">
        <v>118</v>
      </c>
      <c r="U22">
        <v>36</v>
      </c>
      <c r="V22">
        <v>4000</v>
      </c>
      <c r="W22" t="s">
        <v>91</v>
      </c>
      <c r="X22" t="s">
        <v>102</v>
      </c>
      <c r="Y22" t="s">
        <v>119</v>
      </c>
      <c r="Z22" t="s">
        <v>120</v>
      </c>
      <c r="AA22" t="s">
        <v>88</v>
      </c>
      <c r="AB22" t="s">
        <v>94</v>
      </c>
      <c r="AC22" t="s">
        <v>95</v>
      </c>
      <c r="AD22" t="s">
        <v>63</v>
      </c>
      <c r="AE22" t="s">
        <v>63</v>
      </c>
      <c r="AF22" t="s">
        <v>63</v>
      </c>
      <c r="AG22" t="s">
        <v>63</v>
      </c>
      <c r="AH22" t="s">
        <v>63</v>
      </c>
      <c r="AI22">
        <v>36</v>
      </c>
      <c r="AJ22" t="s">
        <v>65</v>
      </c>
      <c r="AK22">
        <v>60</v>
      </c>
      <c r="AL22" t="s">
        <v>76</v>
      </c>
      <c r="AM22" t="s">
        <v>77</v>
      </c>
      <c r="AN22" t="s">
        <v>78</v>
      </c>
      <c r="AO22">
        <v>0</v>
      </c>
      <c r="AP22">
        <v>4</v>
      </c>
      <c r="AQ22" t="s">
        <v>79</v>
      </c>
      <c r="AR22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"/>
  <sheetViews>
    <sheetView topLeftCell="A4" workbookViewId="0">
      <selection activeCell="H40" sqref="H40"/>
    </sheetView>
  </sheetViews>
  <sheetFormatPr baseColWidth="10" defaultColWidth="8.83203125" defaultRowHeight="15" x14ac:dyDescent="0.2"/>
  <cols>
    <col min="1" max="1" width="31.6640625" customWidth="1"/>
    <col min="4" max="4" width="13.5" customWidth="1"/>
    <col min="5" max="5" width="28.83203125" customWidth="1"/>
    <col min="6" max="6" width="33" customWidth="1"/>
    <col min="7" max="7" width="17.6640625" customWidth="1"/>
    <col min="8" max="8" width="45.33203125" customWidth="1"/>
    <col min="10" max="10" width="25.5" customWidth="1"/>
    <col min="11" max="12" width="10.5" customWidth="1"/>
    <col min="16" max="16" width="16.1640625" customWidth="1"/>
    <col min="19" max="19" width="31" customWidth="1"/>
    <col min="21" max="21" width="19.1640625" customWidth="1"/>
    <col min="22" max="22" width="19.33203125" customWidth="1"/>
  </cols>
  <sheetData>
    <row r="1" spans="1:23" x14ac:dyDescent="0.2">
      <c r="A1" s="1" t="s">
        <v>0</v>
      </c>
      <c r="B1" s="1" t="s">
        <v>131</v>
      </c>
      <c r="C1" s="1" t="s">
        <v>132</v>
      </c>
      <c r="D1" s="1" t="s">
        <v>133</v>
      </c>
      <c r="E1" s="1" t="s">
        <v>1</v>
      </c>
      <c r="F1" s="1" t="s">
        <v>134</v>
      </c>
      <c r="G1" s="1" t="s">
        <v>2</v>
      </c>
      <c r="H1" s="1" t="s">
        <v>135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136</v>
      </c>
      <c r="W1" s="1" t="s">
        <v>137</v>
      </c>
    </row>
    <row r="2" spans="1:23" x14ac:dyDescent="0.2">
      <c r="A2" t="s">
        <v>138</v>
      </c>
      <c r="B2" t="s">
        <v>139</v>
      </c>
      <c r="C2" t="s">
        <v>140</v>
      </c>
      <c r="D2" t="s">
        <v>141</v>
      </c>
      <c r="E2" t="s">
        <v>142</v>
      </c>
      <c r="F2" t="s">
        <v>138</v>
      </c>
      <c r="G2" t="s">
        <v>46</v>
      </c>
      <c r="H2" t="s">
        <v>143</v>
      </c>
      <c r="I2">
        <v>16</v>
      </c>
      <c r="J2" t="s">
        <v>144</v>
      </c>
      <c r="K2" t="s">
        <v>60</v>
      </c>
      <c r="L2">
        <v>2.9</v>
      </c>
      <c r="M2">
        <v>21708</v>
      </c>
      <c r="N2">
        <v>32</v>
      </c>
      <c r="O2">
        <v>100</v>
      </c>
      <c r="P2">
        <v>50</v>
      </c>
      <c r="Q2" t="s">
        <v>145</v>
      </c>
      <c r="R2" t="s">
        <v>146</v>
      </c>
      <c r="S2" t="s">
        <v>147</v>
      </c>
      <c r="T2" t="s">
        <v>148</v>
      </c>
      <c r="U2" t="s">
        <v>149</v>
      </c>
      <c r="V2" t="s">
        <v>73</v>
      </c>
      <c r="W2">
        <v>24525</v>
      </c>
    </row>
    <row r="3" spans="1:23" x14ac:dyDescent="0.2">
      <c r="A3" t="s">
        <v>150</v>
      </c>
      <c r="B3" t="s">
        <v>139</v>
      </c>
      <c r="C3" t="s">
        <v>140</v>
      </c>
      <c r="D3" t="s">
        <v>141</v>
      </c>
      <c r="E3" t="s">
        <v>142</v>
      </c>
      <c r="F3" t="s">
        <v>150</v>
      </c>
      <c r="G3" t="s">
        <v>46</v>
      </c>
      <c r="H3" t="s">
        <v>143</v>
      </c>
      <c r="I3">
        <v>32</v>
      </c>
      <c r="J3" t="s">
        <v>144</v>
      </c>
      <c r="K3" t="s">
        <v>60</v>
      </c>
      <c r="L3">
        <v>2.9</v>
      </c>
      <c r="M3">
        <v>21708</v>
      </c>
      <c r="N3">
        <v>32</v>
      </c>
      <c r="O3">
        <v>100</v>
      </c>
      <c r="P3">
        <v>50</v>
      </c>
      <c r="Q3" t="s">
        <v>145</v>
      </c>
      <c r="R3" t="s">
        <v>146</v>
      </c>
      <c r="S3" t="s">
        <v>147</v>
      </c>
      <c r="T3" t="s">
        <v>148</v>
      </c>
      <c r="U3" t="s">
        <v>149</v>
      </c>
      <c r="V3" t="s">
        <v>73</v>
      </c>
      <c r="W3">
        <v>25650</v>
      </c>
    </row>
    <row r="4" spans="1:23" x14ac:dyDescent="0.2">
      <c r="A4" t="s">
        <v>151</v>
      </c>
      <c r="B4" t="s">
        <v>139</v>
      </c>
      <c r="C4" t="s">
        <v>140</v>
      </c>
      <c r="D4" t="s">
        <v>141</v>
      </c>
      <c r="E4" t="s">
        <v>142</v>
      </c>
      <c r="F4" t="s">
        <v>151</v>
      </c>
      <c r="G4" t="s">
        <v>46</v>
      </c>
      <c r="H4" t="s">
        <v>143</v>
      </c>
      <c r="I4">
        <v>48</v>
      </c>
      <c r="J4" t="s">
        <v>144</v>
      </c>
      <c r="K4" t="s">
        <v>60</v>
      </c>
      <c r="L4">
        <v>2.9</v>
      </c>
      <c r="M4">
        <v>21708</v>
      </c>
      <c r="N4">
        <v>32</v>
      </c>
      <c r="O4">
        <v>100</v>
      </c>
      <c r="P4">
        <v>50</v>
      </c>
      <c r="Q4" t="s">
        <v>145</v>
      </c>
      <c r="R4" t="s">
        <v>146</v>
      </c>
      <c r="S4" t="s">
        <v>147</v>
      </c>
      <c r="T4" t="s">
        <v>148</v>
      </c>
      <c r="U4" t="s">
        <v>149</v>
      </c>
      <c r="V4" t="s">
        <v>73</v>
      </c>
      <c r="W4">
        <v>27125</v>
      </c>
    </row>
    <row r="5" spans="1:23" x14ac:dyDescent="0.2">
      <c r="A5" t="s">
        <v>152</v>
      </c>
      <c r="B5" t="s">
        <v>139</v>
      </c>
      <c r="C5" t="s">
        <v>140</v>
      </c>
      <c r="D5" t="s">
        <v>141</v>
      </c>
      <c r="E5" t="s">
        <v>142</v>
      </c>
      <c r="F5" t="s">
        <v>152</v>
      </c>
      <c r="G5" t="s">
        <v>46</v>
      </c>
      <c r="H5" t="s">
        <v>143</v>
      </c>
      <c r="I5">
        <v>64</v>
      </c>
      <c r="J5" t="s">
        <v>144</v>
      </c>
      <c r="K5" t="s">
        <v>60</v>
      </c>
      <c r="L5">
        <v>2.9</v>
      </c>
      <c r="M5">
        <v>21708</v>
      </c>
      <c r="N5">
        <v>32</v>
      </c>
      <c r="O5">
        <v>100</v>
      </c>
      <c r="P5">
        <v>50</v>
      </c>
      <c r="Q5" t="s">
        <v>145</v>
      </c>
      <c r="R5" t="s">
        <v>146</v>
      </c>
      <c r="S5" t="s">
        <v>147</v>
      </c>
      <c r="T5" t="s">
        <v>148</v>
      </c>
      <c r="U5" t="s">
        <v>149</v>
      </c>
      <c r="V5" t="s">
        <v>80</v>
      </c>
      <c r="W5">
        <v>28475</v>
      </c>
    </row>
    <row r="6" spans="1:23" x14ac:dyDescent="0.2">
      <c r="A6" t="s">
        <v>153</v>
      </c>
      <c r="B6" t="s">
        <v>139</v>
      </c>
      <c r="C6" t="s">
        <v>140</v>
      </c>
      <c r="D6" t="s">
        <v>141</v>
      </c>
      <c r="E6" t="s">
        <v>154</v>
      </c>
      <c r="F6" t="s">
        <v>153</v>
      </c>
      <c r="G6" t="s">
        <v>86</v>
      </c>
      <c r="H6" t="s">
        <v>155</v>
      </c>
      <c r="I6">
        <v>32</v>
      </c>
      <c r="J6" t="s">
        <v>156</v>
      </c>
      <c r="K6" t="s">
        <v>157</v>
      </c>
      <c r="L6">
        <v>2</v>
      </c>
      <c r="M6">
        <v>25136</v>
      </c>
      <c r="N6">
        <v>32</v>
      </c>
      <c r="O6">
        <v>150</v>
      </c>
      <c r="P6">
        <v>75</v>
      </c>
      <c r="Q6" t="s">
        <v>158</v>
      </c>
      <c r="R6" t="s">
        <v>146</v>
      </c>
      <c r="S6" t="s">
        <v>147</v>
      </c>
      <c r="T6" t="s">
        <v>148</v>
      </c>
      <c r="U6" t="s">
        <v>149</v>
      </c>
      <c r="V6" t="s">
        <v>84</v>
      </c>
      <c r="W6">
        <v>33100</v>
      </c>
    </row>
    <row r="7" spans="1:23" x14ac:dyDescent="0.2">
      <c r="A7" t="s">
        <v>159</v>
      </c>
      <c r="B7" t="s">
        <v>139</v>
      </c>
      <c r="C7" t="s">
        <v>140</v>
      </c>
      <c r="D7" t="s">
        <v>141</v>
      </c>
      <c r="E7" t="s">
        <v>154</v>
      </c>
      <c r="F7" t="s">
        <v>159</v>
      </c>
      <c r="G7" t="s">
        <v>86</v>
      </c>
      <c r="H7" t="s">
        <v>155</v>
      </c>
      <c r="I7">
        <v>64</v>
      </c>
      <c r="J7" t="s">
        <v>156</v>
      </c>
      <c r="K7" t="s">
        <v>157</v>
      </c>
      <c r="L7">
        <v>2</v>
      </c>
      <c r="M7">
        <v>25136</v>
      </c>
      <c r="N7">
        <v>32</v>
      </c>
      <c r="O7">
        <v>150</v>
      </c>
      <c r="P7">
        <v>75</v>
      </c>
      <c r="Q7" t="s">
        <v>158</v>
      </c>
      <c r="R7" t="s">
        <v>146</v>
      </c>
      <c r="S7" t="s">
        <v>147</v>
      </c>
      <c r="T7" t="s">
        <v>148</v>
      </c>
      <c r="U7" t="s">
        <v>149</v>
      </c>
      <c r="V7" t="s">
        <v>84</v>
      </c>
      <c r="W7">
        <v>35000</v>
      </c>
    </row>
    <row r="8" spans="1:23" x14ac:dyDescent="0.2">
      <c r="A8" t="s">
        <v>160</v>
      </c>
      <c r="B8" t="s">
        <v>139</v>
      </c>
      <c r="C8" t="s">
        <v>140</v>
      </c>
      <c r="D8" t="s">
        <v>141</v>
      </c>
      <c r="E8" t="s">
        <v>154</v>
      </c>
      <c r="F8" t="s">
        <v>160</v>
      </c>
      <c r="G8" t="s">
        <v>86</v>
      </c>
      <c r="H8" t="s">
        <v>155</v>
      </c>
      <c r="I8">
        <v>96</v>
      </c>
      <c r="J8" t="s">
        <v>156</v>
      </c>
      <c r="K8" t="s">
        <v>157</v>
      </c>
      <c r="L8">
        <v>2</v>
      </c>
      <c r="M8">
        <v>25136</v>
      </c>
      <c r="N8">
        <v>32</v>
      </c>
      <c r="O8">
        <v>150</v>
      </c>
      <c r="P8">
        <v>75</v>
      </c>
      <c r="Q8" t="s">
        <v>158</v>
      </c>
      <c r="R8" t="s">
        <v>146</v>
      </c>
      <c r="S8" t="s">
        <v>147</v>
      </c>
      <c r="T8" t="s">
        <v>148</v>
      </c>
      <c r="U8" t="s">
        <v>149</v>
      </c>
      <c r="V8" t="s">
        <v>84</v>
      </c>
      <c r="W8">
        <v>38125</v>
      </c>
    </row>
    <row r="9" spans="1:23" x14ac:dyDescent="0.2">
      <c r="A9" t="s">
        <v>161</v>
      </c>
      <c r="B9" t="s">
        <v>139</v>
      </c>
      <c r="C9" t="s">
        <v>140</v>
      </c>
      <c r="D9" t="s">
        <v>141</v>
      </c>
      <c r="E9" t="s">
        <v>154</v>
      </c>
      <c r="F9" t="s">
        <v>161</v>
      </c>
      <c r="G9" t="s">
        <v>86</v>
      </c>
      <c r="H9" t="s">
        <v>155</v>
      </c>
      <c r="I9">
        <v>128</v>
      </c>
      <c r="J9" t="s">
        <v>156</v>
      </c>
      <c r="K9" t="s">
        <v>157</v>
      </c>
      <c r="L9">
        <v>2</v>
      </c>
      <c r="M9">
        <v>25136</v>
      </c>
      <c r="N9">
        <v>32</v>
      </c>
      <c r="O9">
        <v>150</v>
      </c>
      <c r="P9">
        <v>75</v>
      </c>
      <c r="Q9" t="s">
        <v>158</v>
      </c>
      <c r="R9" t="s">
        <v>146</v>
      </c>
      <c r="S9" t="s">
        <v>147</v>
      </c>
      <c r="T9" t="s">
        <v>148</v>
      </c>
      <c r="U9" t="s">
        <v>149</v>
      </c>
      <c r="V9" t="s">
        <v>96</v>
      </c>
      <c r="W9">
        <v>40525</v>
      </c>
    </row>
    <row r="10" spans="1:23" x14ac:dyDescent="0.2">
      <c r="A10" t="s">
        <v>162</v>
      </c>
      <c r="B10" t="s">
        <v>139</v>
      </c>
      <c r="C10" t="s">
        <v>140</v>
      </c>
      <c r="D10" t="s">
        <v>141</v>
      </c>
      <c r="E10" t="s">
        <v>163</v>
      </c>
      <c r="F10" t="s">
        <v>162</v>
      </c>
      <c r="G10" t="s">
        <v>86</v>
      </c>
      <c r="H10" t="s">
        <v>164</v>
      </c>
      <c r="I10">
        <v>48</v>
      </c>
      <c r="J10" t="s">
        <v>156</v>
      </c>
      <c r="K10" t="s">
        <v>157</v>
      </c>
      <c r="L10">
        <v>2</v>
      </c>
      <c r="M10">
        <v>25136</v>
      </c>
      <c r="N10">
        <v>32</v>
      </c>
      <c r="O10">
        <v>250</v>
      </c>
      <c r="P10">
        <v>125</v>
      </c>
      <c r="Q10" t="s">
        <v>158</v>
      </c>
      <c r="R10" t="s">
        <v>146</v>
      </c>
      <c r="S10" t="s">
        <v>165</v>
      </c>
      <c r="T10" t="s">
        <v>148</v>
      </c>
      <c r="U10" t="s">
        <v>149</v>
      </c>
      <c r="V10" t="s">
        <v>100</v>
      </c>
      <c r="W10">
        <v>43150</v>
      </c>
    </row>
    <row r="11" spans="1:23" x14ac:dyDescent="0.2">
      <c r="A11" t="s">
        <v>166</v>
      </c>
      <c r="B11" t="s">
        <v>139</v>
      </c>
      <c r="C11" t="s">
        <v>140</v>
      </c>
      <c r="D11" t="s">
        <v>141</v>
      </c>
      <c r="E11" t="s">
        <v>163</v>
      </c>
      <c r="F11" t="s">
        <v>166</v>
      </c>
      <c r="G11" t="s">
        <v>86</v>
      </c>
      <c r="H11" t="s">
        <v>164</v>
      </c>
      <c r="I11">
        <v>96</v>
      </c>
      <c r="J11" t="s">
        <v>156</v>
      </c>
      <c r="K11" t="s">
        <v>157</v>
      </c>
      <c r="L11">
        <v>2</v>
      </c>
      <c r="M11">
        <v>25136</v>
      </c>
      <c r="N11">
        <v>32</v>
      </c>
      <c r="O11">
        <v>250</v>
      </c>
      <c r="P11">
        <v>125</v>
      </c>
      <c r="Q11" t="s">
        <v>158</v>
      </c>
      <c r="R11" t="s">
        <v>146</v>
      </c>
      <c r="S11" t="s">
        <v>165</v>
      </c>
      <c r="T11" t="s">
        <v>148</v>
      </c>
      <c r="U11" t="s">
        <v>149</v>
      </c>
      <c r="V11" t="s">
        <v>100</v>
      </c>
      <c r="W11">
        <v>46025</v>
      </c>
    </row>
    <row r="12" spans="1:23" x14ac:dyDescent="0.2">
      <c r="A12" t="s">
        <v>167</v>
      </c>
      <c r="B12" t="s">
        <v>139</v>
      </c>
      <c r="C12" t="s">
        <v>140</v>
      </c>
      <c r="D12" t="s">
        <v>141</v>
      </c>
      <c r="E12" t="s">
        <v>163</v>
      </c>
      <c r="F12" t="s">
        <v>167</v>
      </c>
      <c r="G12" t="s">
        <v>86</v>
      </c>
      <c r="H12" t="s">
        <v>164</v>
      </c>
      <c r="I12">
        <v>144</v>
      </c>
      <c r="J12" t="s">
        <v>156</v>
      </c>
      <c r="K12" t="s">
        <v>157</v>
      </c>
      <c r="L12">
        <v>2</v>
      </c>
      <c r="M12">
        <v>25136</v>
      </c>
      <c r="N12">
        <v>32</v>
      </c>
      <c r="O12">
        <v>250</v>
      </c>
      <c r="P12">
        <v>125</v>
      </c>
      <c r="Q12" t="s">
        <v>158</v>
      </c>
      <c r="R12" t="s">
        <v>146</v>
      </c>
      <c r="S12" t="s">
        <v>165</v>
      </c>
      <c r="T12" t="s">
        <v>148</v>
      </c>
      <c r="U12" t="s">
        <v>149</v>
      </c>
      <c r="V12" t="s">
        <v>100</v>
      </c>
      <c r="W12">
        <v>49825</v>
      </c>
    </row>
    <row r="13" spans="1:23" x14ac:dyDescent="0.2">
      <c r="A13" t="s">
        <v>168</v>
      </c>
      <c r="B13" t="s">
        <v>139</v>
      </c>
      <c r="C13" t="s">
        <v>140</v>
      </c>
      <c r="D13" t="s">
        <v>141</v>
      </c>
      <c r="E13" t="s">
        <v>163</v>
      </c>
      <c r="F13" t="s">
        <v>168</v>
      </c>
      <c r="G13" t="s">
        <v>86</v>
      </c>
      <c r="H13" t="s">
        <v>164</v>
      </c>
      <c r="I13">
        <v>192</v>
      </c>
      <c r="J13" t="s">
        <v>156</v>
      </c>
      <c r="K13" t="s">
        <v>157</v>
      </c>
      <c r="L13">
        <v>2</v>
      </c>
      <c r="M13">
        <v>25136</v>
      </c>
      <c r="N13">
        <v>32</v>
      </c>
      <c r="O13">
        <v>250</v>
      </c>
      <c r="P13">
        <v>125</v>
      </c>
      <c r="Q13" t="s">
        <v>158</v>
      </c>
      <c r="R13" t="s">
        <v>146</v>
      </c>
      <c r="S13" t="s">
        <v>165</v>
      </c>
      <c r="T13" t="s">
        <v>148</v>
      </c>
      <c r="U13" t="s">
        <v>149</v>
      </c>
      <c r="V13" t="s">
        <v>103</v>
      </c>
      <c r="W13">
        <v>53275</v>
      </c>
    </row>
    <row r="14" spans="1:23" x14ac:dyDescent="0.2">
      <c r="A14" t="s">
        <v>169</v>
      </c>
      <c r="B14" t="s">
        <v>139</v>
      </c>
      <c r="C14" t="s">
        <v>140</v>
      </c>
      <c r="D14" t="s">
        <v>141</v>
      </c>
      <c r="E14" t="s">
        <v>163</v>
      </c>
      <c r="F14" t="s">
        <v>169</v>
      </c>
      <c r="G14" t="s">
        <v>86</v>
      </c>
      <c r="H14" t="s">
        <v>164</v>
      </c>
      <c r="I14">
        <v>288</v>
      </c>
      <c r="J14" t="s">
        <v>156</v>
      </c>
      <c r="K14" t="s">
        <v>157</v>
      </c>
      <c r="L14">
        <v>2</v>
      </c>
      <c r="M14">
        <v>25136</v>
      </c>
      <c r="N14">
        <v>32</v>
      </c>
      <c r="O14">
        <v>250</v>
      </c>
      <c r="P14">
        <v>125</v>
      </c>
      <c r="Q14" t="s">
        <v>158</v>
      </c>
      <c r="R14" t="s">
        <v>146</v>
      </c>
      <c r="S14" t="s">
        <v>165</v>
      </c>
      <c r="T14" t="s">
        <v>148</v>
      </c>
      <c r="U14" t="s">
        <v>149</v>
      </c>
      <c r="V14" t="s">
        <v>111</v>
      </c>
      <c r="W14">
        <v>64700</v>
      </c>
    </row>
    <row r="15" spans="1:23" x14ac:dyDescent="0.2">
      <c r="A15" t="s">
        <v>170</v>
      </c>
      <c r="B15" t="s">
        <v>139</v>
      </c>
      <c r="C15" t="s">
        <v>140</v>
      </c>
      <c r="D15" t="s">
        <v>141</v>
      </c>
      <c r="E15" t="s">
        <v>163</v>
      </c>
      <c r="F15" t="s">
        <v>170</v>
      </c>
      <c r="G15" t="s">
        <v>86</v>
      </c>
      <c r="H15" t="s">
        <v>164</v>
      </c>
      <c r="I15">
        <v>384</v>
      </c>
      <c r="J15" t="s">
        <v>156</v>
      </c>
      <c r="K15" t="s">
        <v>157</v>
      </c>
      <c r="L15">
        <v>2</v>
      </c>
      <c r="M15">
        <v>25136</v>
      </c>
      <c r="N15">
        <v>32</v>
      </c>
      <c r="O15">
        <v>250</v>
      </c>
      <c r="P15">
        <v>125</v>
      </c>
      <c r="Q15" t="s">
        <v>158</v>
      </c>
      <c r="R15" t="s">
        <v>146</v>
      </c>
      <c r="S15" t="s">
        <v>165</v>
      </c>
      <c r="T15" t="s">
        <v>148</v>
      </c>
      <c r="U15" t="s">
        <v>149</v>
      </c>
      <c r="V15" t="s">
        <v>113</v>
      </c>
      <c r="W15">
        <v>72925</v>
      </c>
    </row>
    <row r="16" spans="1:23" x14ac:dyDescent="0.2">
      <c r="A16" t="s">
        <v>171</v>
      </c>
      <c r="B16" t="s">
        <v>172</v>
      </c>
      <c r="C16" t="s">
        <v>173</v>
      </c>
      <c r="D16" t="s">
        <v>174</v>
      </c>
      <c r="E16" t="s">
        <v>175</v>
      </c>
      <c r="F16" t="s">
        <v>171</v>
      </c>
      <c r="G16" t="s">
        <v>86</v>
      </c>
      <c r="H16" t="s">
        <v>320</v>
      </c>
      <c r="I16">
        <v>16</v>
      </c>
      <c r="J16" t="s">
        <v>156</v>
      </c>
      <c r="K16" t="s">
        <v>157</v>
      </c>
      <c r="L16">
        <v>2</v>
      </c>
      <c r="M16">
        <v>25136</v>
      </c>
      <c r="N16">
        <v>32</v>
      </c>
      <c r="O16">
        <v>120</v>
      </c>
      <c r="P16">
        <v>70</v>
      </c>
      <c r="Q16" t="s">
        <v>176</v>
      </c>
      <c r="R16" t="s">
        <v>146</v>
      </c>
      <c r="S16" t="s">
        <v>165</v>
      </c>
      <c r="T16" t="s">
        <v>148</v>
      </c>
      <c r="U16" t="s">
        <v>177</v>
      </c>
      <c r="V16" t="s">
        <v>100</v>
      </c>
    </row>
    <row r="17" spans="1:22" x14ac:dyDescent="0.2">
      <c r="A17" t="s">
        <v>178</v>
      </c>
      <c r="B17" t="s">
        <v>172</v>
      </c>
      <c r="C17" t="s">
        <v>173</v>
      </c>
      <c r="D17" t="s">
        <v>174</v>
      </c>
      <c r="E17" t="s">
        <v>179</v>
      </c>
      <c r="F17" t="s">
        <v>178</v>
      </c>
      <c r="G17" t="s">
        <v>86</v>
      </c>
      <c r="H17" s="2" t="s">
        <v>320</v>
      </c>
      <c r="I17">
        <v>24</v>
      </c>
      <c r="J17" t="s">
        <v>156</v>
      </c>
      <c r="K17" t="s">
        <v>157</v>
      </c>
      <c r="L17">
        <v>2</v>
      </c>
      <c r="M17">
        <v>25136</v>
      </c>
      <c r="N17">
        <v>32</v>
      </c>
      <c r="O17">
        <v>120</v>
      </c>
      <c r="P17">
        <v>70</v>
      </c>
      <c r="Q17" t="s">
        <v>176</v>
      </c>
      <c r="R17" t="s">
        <v>146</v>
      </c>
      <c r="S17" t="s">
        <v>165</v>
      </c>
      <c r="T17" t="s">
        <v>148</v>
      </c>
      <c r="U17" t="s">
        <v>177</v>
      </c>
      <c r="V17" t="s">
        <v>100</v>
      </c>
    </row>
    <row r="18" spans="1:22" x14ac:dyDescent="0.2">
      <c r="A18" t="s">
        <v>180</v>
      </c>
      <c r="B18" t="s">
        <v>172</v>
      </c>
      <c r="C18" t="s">
        <v>173</v>
      </c>
      <c r="D18" t="s">
        <v>174</v>
      </c>
      <c r="E18" t="s">
        <v>181</v>
      </c>
      <c r="F18" t="s">
        <v>180</v>
      </c>
      <c r="G18" t="s">
        <v>86</v>
      </c>
      <c r="H18" t="s">
        <v>320</v>
      </c>
      <c r="I18">
        <v>32</v>
      </c>
      <c r="J18" t="s">
        <v>156</v>
      </c>
      <c r="K18" t="s">
        <v>157</v>
      </c>
      <c r="L18">
        <v>2</v>
      </c>
      <c r="M18">
        <v>25136</v>
      </c>
      <c r="N18">
        <v>32</v>
      </c>
      <c r="O18">
        <v>120</v>
      </c>
      <c r="P18">
        <v>70</v>
      </c>
      <c r="Q18" t="s">
        <v>176</v>
      </c>
      <c r="R18" t="s">
        <v>146</v>
      </c>
      <c r="S18" t="s">
        <v>165</v>
      </c>
      <c r="T18" t="s">
        <v>148</v>
      </c>
      <c r="U18" t="s">
        <v>177</v>
      </c>
      <c r="V18" t="s">
        <v>100</v>
      </c>
    </row>
    <row r="19" spans="1:22" x14ac:dyDescent="0.2">
      <c r="A19" t="s">
        <v>182</v>
      </c>
      <c r="B19" t="s">
        <v>172</v>
      </c>
      <c r="C19" t="s">
        <v>173</v>
      </c>
      <c r="D19" t="s">
        <v>174</v>
      </c>
      <c r="E19" t="s">
        <v>183</v>
      </c>
      <c r="F19" t="s">
        <v>182</v>
      </c>
      <c r="G19" t="s">
        <v>86</v>
      </c>
      <c r="H19" t="s">
        <v>320</v>
      </c>
      <c r="I19">
        <v>48</v>
      </c>
      <c r="J19" t="s">
        <v>156</v>
      </c>
      <c r="K19" t="s">
        <v>157</v>
      </c>
      <c r="L19">
        <v>2</v>
      </c>
      <c r="M19">
        <v>25136</v>
      </c>
      <c r="N19">
        <v>32</v>
      </c>
      <c r="O19">
        <v>120</v>
      </c>
      <c r="P19">
        <v>70</v>
      </c>
      <c r="Q19" t="s">
        <v>176</v>
      </c>
      <c r="R19" t="s">
        <v>146</v>
      </c>
      <c r="S19" t="s">
        <v>165</v>
      </c>
      <c r="T19" t="s">
        <v>148</v>
      </c>
      <c r="U19" t="s">
        <v>177</v>
      </c>
      <c r="V19" t="s">
        <v>100</v>
      </c>
    </row>
    <row r="20" spans="1:22" x14ac:dyDescent="0.2">
      <c r="A20" t="s">
        <v>184</v>
      </c>
      <c r="B20" t="s">
        <v>172</v>
      </c>
      <c r="C20" t="s">
        <v>173</v>
      </c>
      <c r="D20" t="s">
        <v>174</v>
      </c>
      <c r="E20" t="s">
        <v>185</v>
      </c>
      <c r="F20" t="s">
        <v>184</v>
      </c>
      <c r="G20" t="s">
        <v>86</v>
      </c>
      <c r="H20" t="s">
        <v>320</v>
      </c>
      <c r="I20">
        <v>64</v>
      </c>
      <c r="J20" t="s">
        <v>156</v>
      </c>
      <c r="K20" t="s">
        <v>157</v>
      </c>
      <c r="L20">
        <v>2</v>
      </c>
      <c r="M20">
        <v>25136</v>
      </c>
      <c r="N20">
        <v>32</v>
      </c>
      <c r="O20">
        <v>120</v>
      </c>
      <c r="P20">
        <v>70</v>
      </c>
      <c r="Q20" t="s">
        <v>176</v>
      </c>
      <c r="R20" t="s">
        <v>146</v>
      </c>
      <c r="S20" t="s">
        <v>165</v>
      </c>
      <c r="T20" t="s">
        <v>148</v>
      </c>
      <c r="U20" t="s">
        <v>177</v>
      </c>
      <c r="V20" t="s">
        <v>100</v>
      </c>
    </row>
    <row r="21" spans="1:22" x14ac:dyDescent="0.2">
      <c r="A21" t="s">
        <v>186</v>
      </c>
      <c r="B21" t="s">
        <v>172</v>
      </c>
      <c r="C21" t="s">
        <v>173</v>
      </c>
      <c r="D21" t="s">
        <v>174</v>
      </c>
      <c r="E21" t="s">
        <v>187</v>
      </c>
      <c r="F21" t="s">
        <v>186</v>
      </c>
      <c r="G21" t="s">
        <v>86</v>
      </c>
      <c r="H21" t="s">
        <v>320</v>
      </c>
      <c r="I21">
        <v>16</v>
      </c>
      <c r="J21" t="s">
        <v>156</v>
      </c>
      <c r="K21" t="s">
        <v>157</v>
      </c>
      <c r="L21">
        <v>2</v>
      </c>
      <c r="M21">
        <v>25136</v>
      </c>
      <c r="N21">
        <v>32</v>
      </c>
      <c r="O21">
        <v>120</v>
      </c>
      <c r="P21">
        <v>70</v>
      </c>
      <c r="Q21" t="s">
        <v>176</v>
      </c>
      <c r="R21" t="s">
        <v>146</v>
      </c>
      <c r="S21" t="s">
        <v>188</v>
      </c>
      <c r="T21" t="s">
        <v>148</v>
      </c>
      <c r="U21" t="s">
        <v>177</v>
      </c>
      <c r="V21" t="s">
        <v>100</v>
      </c>
    </row>
    <row r="22" spans="1:22" x14ac:dyDescent="0.2">
      <c r="A22" t="s">
        <v>189</v>
      </c>
      <c r="B22" t="s">
        <v>172</v>
      </c>
      <c r="C22" t="s">
        <v>173</v>
      </c>
      <c r="D22" t="s">
        <v>174</v>
      </c>
      <c r="E22" t="s">
        <v>190</v>
      </c>
      <c r="F22" t="s">
        <v>189</v>
      </c>
      <c r="G22" t="s">
        <v>86</v>
      </c>
      <c r="H22" t="s">
        <v>320</v>
      </c>
      <c r="I22">
        <v>24</v>
      </c>
      <c r="J22" t="s">
        <v>156</v>
      </c>
      <c r="K22" t="s">
        <v>157</v>
      </c>
      <c r="L22">
        <v>2</v>
      </c>
      <c r="M22">
        <v>25136</v>
      </c>
      <c r="N22">
        <v>32</v>
      </c>
      <c r="O22">
        <v>120</v>
      </c>
      <c r="P22">
        <v>70</v>
      </c>
      <c r="Q22" t="s">
        <v>176</v>
      </c>
      <c r="R22" t="s">
        <v>146</v>
      </c>
      <c r="S22" t="s">
        <v>188</v>
      </c>
      <c r="T22" t="s">
        <v>148</v>
      </c>
      <c r="U22" t="s">
        <v>177</v>
      </c>
      <c r="V22" t="s">
        <v>100</v>
      </c>
    </row>
    <row r="23" spans="1:22" x14ac:dyDescent="0.2">
      <c r="A23" t="s">
        <v>191</v>
      </c>
      <c r="B23" t="s">
        <v>172</v>
      </c>
      <c r="C23" t="s">
        <v>173</v>
      </c>
      <c r="D23" t="s">
        <v>174</v>
      </c>
      <c r="E23" t="s">
        <v>192</v>
      </c>
      <c r="F23" t="s">
        <v>191</v>
      </c>
      <c r="G23" t="s">
        <v>86</v>
      </c>
      <c r="H23" t="s">
        <v>320</v>
      </c>
      <c r="I23">
        <v>32</v>
      </c>
      <c r="J23" t="s">
        <v>156</v>
      </c>
      <c r="K23" t="s">
        <v>157</v>
      </c>
      <c r="L23">
        <v>2</v>
      </c>
      <c r="M23">
        <v>25136</v>
      </c>
      <c r="N23">
        <v>32</v>
      </c>
      <c r="O23">
        <v>120</v>
      </c>
      <c r="P23">
        <v>70</v>
      </c>
      <c r="Q23" t="s">
        <v>176</v>
      </c>
      <c r="R23" t="s">
        <v>146</v>
      </c>
      <c r="S23" t="s">
        <v>188</v>
      </c>
      <c r="T23" t="s">
        <v>148</v>
      </c>
      <c r="U23" t="s">
        <v>177</v>
      </c>
      <c r="V23" t="s">
        <v>100</v>
      </c>
    </row>
    <row r="24" spans="1:22" x14ac:dyDescent="0.2">
      <c r="A24" t="s">
        <v>193</v>
      </c>
      <c r="B24" t="s">
        <v>172</v>
      </c>
      <c r="C24" t="s">
        <v>173</v>
      </c>
      <c r="D24" t="s">
        <v>174</v>
      </c>
      <c r="E24" t="s">
        <v>194</v>
      </c>
      <c r="F24" t="s">
        <v>193</v>
      </c>
      <c r="G24" t="s">
        <v>86</v>
      </c>
      <c r="H24" t="s">
        <v>320</v>
      </c>
      <c r="I24">
        <v>48</v>
      </c>
      <c r="J24" t="s">
        <v>156</v>
      </c>
      <c r="K24" t="s">
        <v>157</v>
      </c>
      <c r="L24">
        <v>2</v>
      </c>
      <c r="M24">
        <v>25136</v>
      </c>
      <c r="N24">
        <v>32</v>
      </c>
      <c r="O24">
        <v>120</v>
      </c>
      <c r="P24">
        <v>70</v>
      </c>
      <c r="Q24" t="s">
        <v>176</v>
      </c>
      <c r="R24" t="s">
        <v>146</v>
      </c>
      <c r="S24" t="s">
        <v>188</v>
      </c>
      <c r="T24" t="s">
        <v>148</v>
      </c>
      <c r="U24" t="s">
        <v>177</v>
      </c>
      <c r="V24" t="s">
        <v>100</v>
      </c>
    </row>
    <row r="25" spans="1:22" x14ac:dyDescent="0.2">
      <c r="A25" t="s">
        <v>195</v>
      </c>
      <c r="B25" t="s">
        <v>172</v>
      </c>
      <c r="C25" t="s">
        <v>173</v>
      </c>
      <c r="D25" t="s">
        <v>174</v>
      </c>
      <c r="E25" t="s">
        <v>196</v>
      </c>
      <c r="F25" t="s">
        <v>195</v>
      </c>
      <c r="G25" t="s">
        <v>86</v>
      </c>
      <c r="H25" t="s">
        <v>320</v>
      </c>
      <c r="I25">
        <v>64</v>
      </c>
      <c r="J25" t="s">
        <v>156</v>
      </c>
      <c r="K25" t="s">
        <v>157</v>
      </c>
      <c r="L25">
        <v>2</v>
      </c>
      <c r="M25">
        <v>25136</v>
      </c>
      <c r="N25">
        <v>32</v>
      </c>
      <c r="O25">
        <v>120</v>
      </c>
      <c r="P25">
        <v>70</v>
      </c>
      <c r="Q25" t="s">
        <v>176</v>
      </c>
      <c r="R25" t="s">
        <v>146</v>
      </c>
      <c r="S25" t="s">
        <v>188</v>
      </c>
      <c r="T25" t="s">
        <v>148</v>
      </c>
      <c r="U25" t="s">
        <v>177</v>
      </c>
      <c r="V25" t="s">
        <v>100</v>
      </c>
    </row>
    <row r="26" spans="1:22" x14ac:dyDescent="0.2">
      <c r="A26" t="s">
        <v>197</v>
      </c>
      <c r="B26" t="s">
        <v>172</v>
      </c>
      <c r="C26" t="s">
        <v>173</v>
      </c>
      <c r="D26" t="s">
        <v>174</v>
      </c>
      <c r="E26" t="s">
        <v>198</v>
      </c>
      <c r="F26" t="s">
        <v>197</v>
      </c>
      <c r="G26" t="s">
        <v>86</v>
      </c>
      <c r="H26" t="s">
        <v>320</v>
      </c>
      <c r="I26">
        <v>72</v>
      </c>
      <c r="J26" t="s">
        <v>199</v>
      </c>
      <c r="K26" t="s">
        <v>200</v>
      </c>
      <c r="L26">
        <v>2</v>
      </c>
      <c r="M26">
        <v>42443</v>
      </c>
      <c r="N26">
        <v>64</v>
      </c>
      <c r="O26">
        <v>200</v>
      </c>
      <c r="P26">
        <v>120</v>
      </c>
      <c r="Q26" t="s">
        <v>201</v>
      </c>
      <c r="R26" t="s">
        <v>146</v>
      </c>
      <c r="S26" t="s">
        <v>165</v>
      </c>
      <c r="T26" t="s">
        <v>148</v>
      </c>
      <c r="U26" t="s">
        <v>177</v>
      </c>
      <c r="V26" t="s">
        <v>100</v>
      </c>
    </row>
    <row r="27" spans="1:22" x14ac:dyDescent="0.2">
      <c r="A27" t="s">
        <v>202</v>
      </c>
      <c r="B27" t="s">
        <v>172</v>
      </c>
      <c r="C27" t="s">
        <v>173</v>
      </c>
      <c r="D27" t="s">
        <v>174</v>
      </c>
      <c r="E27" t="s">
        <v>203</v>
      </c>
      <c r="F27" t="s">
        <v>202</v>
      </c>
      <c r="G27" t="s">
        <v>86</v>
      </c>
      <c r="H27" t="s">
        <v>320</v>
      </c>
      <c r="I27">
        <v>96</v>
      </c>
      <c r="J27" t="s">
        <v>199</v>
      </c>
      <c r="K27" t="s">
        <v>200</v>
      </c>
      <c r="L27">
        <v>2</v>
      </c>
      <c r="M27">
        <v>42443</v>
      </c>
      <c r="N27">
        <v>64</v>
      </c>
      <c r="O27">
        <v>200</v>
      </c>
      <c r="P27">
        <v>120</v>
      </c>
      <c r="Q27" t="s">
        <v>204</v>
      </c>
      <c r="R27" t="s">
        <v>146</v>
      </c>
      <c r="S27" t="s">
        <v>165</v>
      </c>
      <c r="T27" t="s">
        <v>148</v>
      </c>
      <c r="U27" t="s">
        <v>177</v>
      </c>
      <c r="V27" t="s">
        <v>100</v>
      </c>
    </row>
    <row r="28" spans="1:22" x14ac:dyDescent="0.2">
      <c r="A28" t="s">
        <v>205</v>
      </c>
      <c r="B28" t="s">
        <v>172</v>
      </c>
      <c r="C28" t="s">
        <v>173</v>
      </c>
      <c r="D28" t="s">
        <v>174</v>
      </c>
      <c r="E28" t="s">
        <v>206</v>
      </c>
      <c r="F28" t="s">
        <v>205</v>
      </c>
      <c r="G28" t="s">
        <v>86</v>
      </c>
      <c r="H28" t="s">
        <v>320</v>
      </c>
      <c r="I28">
        <v>120</v>
      </c>
      <c r="J28" t="s">
        <v>199</v>
      </c>
      <c r="K28" t="s">
        <v>200</v>
      </c>
      <c r="L28">
        <v>2</v>
      </c>
      <c r="M28">
        <v>42443</v>
      </c>
      <c r="N28">
        <v>64</v>
      </c>
      <c r="O28">
        <v>200</v>
      </c>
      <c r="P28">
        <v>120</v>
      </c>
      <c r="Q28" t="s">
        <v>204</v>
      </c>
      <c r="R28" t="s">
        <v>146</v>
      </c>
      <c r="S28" t="s">
        <v>165</v>
      </c>
      <c r="T28" t="s">
        <v>148</v>
      </c>
      <c r="U28" t="s">
        <v>177</v>
      </c>
      <c r="V28" t="s">
        <v>100</v>
      </c>
    </row>
    <row r="29" spans="1:22" x14ac:dyDescent="0.2">
      <c r="A29" t="s">
        <v>207</v>
      </c>
      <c r="B29" t="s">
        <v>172</v>
      </c>
      <c r="C29" t="s">
        <v>173</v>
      </c>
      <c r="D29" t="s">
        <v>174</v>
      </c>
      <c r="E29" t="s">
        <v>208</v>
      </c>
      <c r="F29" t="s">
        <v>207</v>
      </c>
      <c r="G29" t="s">
        <v>86</v>
      </c>
      <c r="H29" t="s">
        <v>320</v>
      </c>
      <c r="I29">
        <v>160</v>
      </c>
      <c r="J29" t="s">
        <v>199</v>
      </c>
      <c r="K29" t="s">
        <v>200</v>
      </c>
      <c r="L29">
        <v>2</v>
      </c>
      <c r="M29">
        <v>42443</v>
      </c>
      <c r="N29">
        <v>64</v>
      </c>
      <c r="O29">
        <v>200</v>
      </c>
      <c r="P29">
        <v>120</v>
      </c>
      <c r="Q29" t="s">
        <v>204</v>
      </c>
      <c r="R29" t="s">
        <v>146</v>
      </c>
      <c r="S29" t="s">
        <v>165</v>
      </c>
      <c r="T29" t="s">
        <v>148</v>
      </c>
      <c r="U29" t="s">
        <v>177</v>
      </c>
      <c r="V29" t="s">
        <v>105</v>
      </c>
    </row>
    <row r="30" spans="1:22" x14ac:dyDescent="0.2">
      <c r="A30" t="s">
        <v>209</v>
      </c>
      <c r="B30" t="s">
        <v>172</v>
      </c>
      <c r="C30" t="s">
        <v>173</v>
      </c>
      <c r="D30" t="s">
        <v>174</v>
      </c>
      <c r="E30" t="s">
        <v>210</v>
      </c>
      <c r="F30" t="s">
        <v>209</v>
      </c>
      <c r="G30" t="s">
        <v>86</v>
      </c>
      <c r="H30" t="s">
        <v>320</v>
      </c>
      <c r="I30">
        <v>200</v>
      </c>
      <c r="J30" t="s">
        <v>199</v>
      </c>
      <c r="K30" t="s">
        <v>200</v>
      </c>
      <c r="L30">
        <v>2</v>
      </c>
      <c r="M30">
        <v>42443</v>
      </c>
      <c r="N30">
        <v>64</v>
      </c>
      <c r="O30">
        <v>200</v>
      </c>
      <c r="P30">
        <v>120</v>
      </c>
      <c r="Q30" t="s">
        <v>204</v>
      </c>
      <c r="R30" t="s">
        <v>146</v>
      </c>
      <c r="S30" t="s">
        <v>165</v>
      </c>
      <c r="T30" t="s">
        <v>148</v>
      </c>
      <c r="U30" t="s">
        <v>177</v>
      </c>
      <c r="V30" t="s">
        <v>105</v>
      </c>
    </row>
    <row r="31" spans="1:22" x14ac:dyDescent="0.2">
      <c r="A31" t="s">
        <v>211</v>
      </c>
      <c r="B31" t="s">
        <v>172</v>
      </c>
      <c r="C31" t="s">
        <v>173</v>
      </c>
      <c r="D31" t="s">
        <v>174</v>
      </c>
      <c r="E31" t="s">
        <v>212</v>
      </c>
      <c r="F31" t="s">
        <v>211</v>
      </c>
      <c r="G31" t="s">
        <v>86</v>
      </c>
      <c r="H31" t="s">
        <v>321</v>
      </c>
      <c r="I31">
        <v>200</v>
      </c>
      <c r="J31" t="s">
        <v>199</v>
      </c>
      <c r="K31" t="s">
        <v>200</v>
      </c>
      <c r="L31">
        <v>2</v>
      </c>
      <c r="M31">
        <v>42443</v>
      </c>
      <c r="N31">
        <v>128</v>
      </c>
      <c r="O31">
        <v>220</v>
      </c>
      <c r="P31">
        <v>130</v>
      </c>
      <c r="Q31" t="s">
        <v>201</v>
      </c>
      <c r="R31" t="s">
        <v>146</v>
      </c>
      <c r="S31" t="s">
        <v>165</v>
      </c>
      <c r="T31" t="s">
        <v>148</v>
      </c>
      <c r="U31" t="s">
        <v>177</v>
      </c>
      <c r="V31" t="s">
        <v>115</v>
      </c>
    </row>
    <row r="32" spans="1:22" x14ac:dyDescent="0.2">
      <c r="A32" t="s">
        <v>213</v>
      </c>
      <c r="B32" t="s">
        <v>172</v>
      </c>
      <c r="C32" t="s">
        <v>173</v>
      </c>
      <c r="D32" t="s">
        <v>174</v>
      </c>
      <c r="E32" t="s">
        <v>214</v>
      </c>
      <c r="F32" t="s">
        <v>213</v>
      </c>
      <c r="G32" t="s">
        <v>86</v>
      </c>
      <c r="H32" t="s">
        <v>321</v>
      </c>
      <c r="I32">
        <v>240</v>
      </c>
      <c r="J32" t="s">
        <v>199</v>
      </c>
      <c r="K32" t="s">
        <v>200</v>
      </c>
      <c r="L32">
        <v>2</v>
      </c>
      <c r="M32">
        <v>42443</v>
      </c>
      <c r="N32">
        <v>128</v>
      </c>
      <c r="O32">
        <v>220</v>
      </c>
      <c r="P32">
        <v>130</v>
      </c>
      <c r="Q32" t="s">
        <v>201</v>
      </c>
      <c r="R32" t="s">
        <v>146</v>
      </c>
      <c r="S32" t="s">
        <v>165</v>
      </c>
      <c r="T32" t="s">
        <v>148</v>
      </c>
      <c r="U32" t="s">
        <v>177</v>
      </c>
      <c r="V32" t="s">
        <v>115</v>
      </c>
    </row>
    <row r="33" spans="1:22" x14ac:dyDescent="0.2">
      <c r="A33" t="s">
        <v>215</v>
      </c>
      <c r="B33" t="s">
        <v>172</v>
      </c>
      <c r="C33" t="s">
        <v>173</v>
      </c>
      <c r="D33" t="s">
        <v>174</v>
      </c>
      <c r="E33" t="s">
        <v>216</v>
      </c>
      <c r="F33" t="s">
        <v>215</v>
      </c>
      <c r="G33" t="s">
        <v>86</v>
      </c>
      <c r="H33" t="s">
        <v>321</v>
      </c>
      <c r="I33">
        <v>280</v>
      </c>
      <c r="J33" t="s">
        <v>199</v>
      </c>
      <c r="K33" t="s">
        <v>200</v>
      </c>
      <c r="L33">
        <v>2</v>
      </c>
      <c r="M33">
        <v>42443</v>
      </c>
      <c r="N33">
        <v>128</v>
      </c>
      <c r="O33">
        <v>220</v>
      </c>
      <c r="P33">
        <v>130</v>
      </c>
      <c r="Q33" t="s">
        <v>201</v>
      </c>
      <c r="R33" t="s">
        <v>146</v>
      </c>
      <c r="S33" t="s">
        <v>165</v>
      </c>
      <c r="T33" t="s">
        <v>148</v>
      </c>
      <c r="U33" t="s">
        <v>177</v>
      </c>
      <c r="V33" t="s">
        <v>115</v>
      </c>
    </row>
    <row r="34" spans="1:22" x14ac:dyDescent="0.2">
      <c r="A34" t="s">
        <v>217</v>
      </c>
      <c r="B34" t="s">
        <v>172</v>
      </c>
      <c r="C34" t="s">
        <v>173</v>
      </c>
      <c r="D34" t="s">
        <v>174</v>
      </c>
      <c r="E34" t="s">
        <v>218</v>
      </c>
      <c r="F34" t="s">
        <v>217</v>
      </c>
      <c r="G34" t="s">
        <v>86</v>
      </c>
      <c r="H34" t="s">
        <v>321</v>
      </c>
      <c r="I34">
        <v>360</v>
      </c>
      <c r="J34" t="s">
        <v>199</v>
      </c>
      <c r="K34" t="s">
        <v>200</v>
      </c>
      <c r="L34">
        <v>2</v>
      </c>
      <c r="M34">
        <v>42443</v>
      </c>
      <c r="N34">
        <v>128</v>
      </c>
      <c r="O34">
        <v>220</v>
      </c>
      <c r="P34">
        <v>130</v>
      </c>
      <c r="Q34" t="s">
        <v>201</v>
      </c>
      <c r="R34" t="s">
        <v>146</v>
      </c>
      <c r="S34" t="s">
        <v>165</v>
      </c>
      <c r="T34" t="s">
        <v>148</v>
      </c>
      <c r="U34" t="s">
        <v>177</v>
      </c>
      <c r="V34" t="s">
        <v>121</v>
      </c>
    </row>
    <row r="35" spans="1:22" x14ac:dyDescent="0.2">
      <c r="A35" t="s">
        <v>219</v>
      </c>
      <c r="B35" t="s">
        <v>172</v>
      </c>
      <c r="C35" t="s">
        <v>173</v>
      </c>
      <c r="D35" t="s">
        <v>174</v>
      </c>
      <c r="E35" t="s">
        <v>220</v>
      </c>
      <c r="F35" t="s">
        <v>219</v>
      </c>
      <c r="G35" t="s">
        <v>86</v>
      </c>
      <c r="H35" t="s">
        <v>321</v>
      </c>
      <c r="I35">
        <v>440</v>
      </c>
      <c r="J35" t="s">
        <v>199</v>
      </c>
      <c r="K35" t="s">
        <v>200</v>
      </c>
      <c r="L35">
        <v>2</v>
      </c>
      <c r="M35">
        <v>42443</v>
      </c>
      <c r="N35">
        <v>128</v>
      </c>
      <c r="O35">
        <v>220</v>
      </c>
      <c r="P35">
        <v>130</v>
      </c>
      <c r="Q35" t="s">
        <v>201</v>
      </c>
      <c r="R35" t="s">
        <v>146</v>
      </c>
      <c r="S35" t="s">
        <v>165</v>
      </c>
      <c r="T35" t="s">
        <v>148</v>
      </c>
      <c r="U35" t="s">
        <v>177</v>
      </c>
      <c r="V35" t="s">
        <v>123</v>
      </c>
    </row>
    <row r="37" spans="1:22" x14ac:dyDescent="0.2">
      <c r="A37" t="s">
        <v>240</v>
      </c>
      <c r="B37" t="s">
        <v>222</v>
      </c>
      <c r="C37" t="s">
        <v>222</v>
      </c>
      <c r="D37" t="s">
        <v>223</v>
      </c>
      <c r="E37" t="s">
        <v>241</v>
      </c>
      <c r="G37" t="s">
        <v>46</v>
      </c>
      <c r="H37" t="s">
        <v>242</v>
      </c>
      <c r="I37">
        <v>8</v>
      </c>
      <c r="J37" t="s">
        <v>243</v>
      </c>
      <c r="K37" t="s">
        <v>244</v>
      </c>
      <c r="L37">
        <v>3.4</v>
      </c>
      <c r="M37">
        <v>15228</v>
      </c>
      <c r="N37">
        <v>16</v>
      </c>
      <c r="O37">
        <v>200</v>
      </c>
      <c r="P37">
        <f>O37*0.8</f>
        <v>160</v>
      </c>
      <c r="Q37" t="s">
        <v>245</v>
      </c>
      <c r="R37" t="s">
        <v>246</v>
      </c>
      <c r="S37" t="s">
        <v>247</v>
      </c>
      <c r="T37" t="s">
        <v>148</v>
      </c>
      <c r="U37" t="s">
        <v>318</v>
      </c>
      <c r="V37" t="s">
        <v>73</v>
      </c>
    </row>
    <row r="38" spans="1:22" x14ac:dyDescent="0.2">
      <c r="A38" t="s">
        <v>248</v>
      </c>
      <c r="B38" t="s">
        <v>222</v>
      </c>
      <c r="C38" t="s">
        <v>222</v>
      </c>
      <c r="D38" t="s">
        <v>223</v>
      </c>
      <c r="E38" t="s">
        <v>241</v>
      </c>
      <c r="G38" t="s">
        <v>46</v>
      </c>
      <c r="H38" t="s">
        <v>242</v>
      </c>
      <c r="I38">
        <v>16</v>
      </c>
      <c r="J38" t="s">
        <v>243</v>
      </c>
      <c r="K38" t="s">
        <v>244</v>
      </c>
      <c r="L38">
        <v>3.4</v>
      </c>
      <c r="M38">
        <v>15228</v>
      </c>
      <c r="N38">
        <v>16</v>
      </c>
      <c r="O38">
        <v>200</v>
      </c>
      <c r="P38">
        <f t="shared" ref="P38:P53" si="0">O38*0.8</f>
        <v>160</v>
      </c>
      <c r="Q38" t="s">
        <v>245</v>
      </c>
      <c r="R38" t="s">
        <v>246</v>
      </c>
      <c r="S38" t="s">
        <v>247</v>
      </c>
      <c r="T38" t="s">
        <v>148</v>
      </c>
      <c r="U38" t="s">
        <v>318</v>
      </c>
      <c r="V38" t="s">
        <v>73</v>
      </c>
    </row>
    <row r="39" spans="1:22" x14ac:dyDescent="0.2">
      <c r="A39" t="s">
        <v>249</v>
      </c>
      <c r="B39" t="s">
        <v>222</v>
      </c>
      <c r="C39" t="s">
        <v>222</v>
      </c>
      <c r="D39" t="s">
        <v>223</v>
      </c>
      <c r="E39" t="s">
        <v>241</v>
      </c>
      <c r="G39" t="s">
        <v>46</v>
      </c>
      <c r="H39" t="s">
        <v>242</v>
      </c>
      <c r="I39">
        <v>32</v>
      </c>
      <c r="J39" t="s">
        <v>243</v>
      </c>
      <c r="K39" t="s">
        <v>244</v>
      </c>
      <c r="L39">
        <v>3.4</v>
      </c>
      <c r="M39">
        <v>15228</v>
      </c>
      <c r="N39">
        <v>16</v>
      </c>
      <c r="O39">
        <v>200</v>
      </c>
      <c r="P39">
        <f t="shared" si="0"/>
        <v>160</v>
      </c>
      <c r="Q39" t="s">
        <v>245</v>
      </c>
      <c r="R39" t="s">
        <v>246</v>
      </c>
      <c r="S39" t="s">
        <v>247</v>
      </c>
      <c r="T39" t="s">
        <v>148</v>
      </c>
      <c r="U39" t="s">
        <v>318</v>
      </c>
      <c r="V39" t="s">
        <v>73</v>
      </c>
    </row>
    <row r="40" spans="1:22" x14ac:dyDescent="0.2">
      <c r="A40" t="s">
        <v>257</v>
      </c>
      <c r="B40" t="s">
        <v>222</v>
      </c>
      <c r="C40" t="s">
        <v>222</v>
      </c>
      <c r="D40" t="s">
        <v>223</v>
      </c>
      <c r="E40" t="s">
        <v>258</v>
      </c>
      <c r="G40" t="s">
        <v>46</v>
      </c>
      <c r="H40" t="s">
        <v>143</v>
      </c>
      <c r="I40">
        <v>36</v>
      </c>
      <c r="J40" t="s">
        <v>254</v>
      </c>
      <c r="K40" t="s">
        <v>60</v>
      </c>
      <c r="L40">
        <v>2.9</v>
      </c>
      <c r="M40">
        <v>21635</v>
      </c>
      <c r="N40">
        <v>32</v>
      </c>
      <c r="O40">
        <v>300</v>
      </c>
      <c r="P40">
        <f t="shared" si="0"/>
        <v>240</v>
      </c>
      <c r="Q40" t="s">
        <v>245</v>
      </c>
      <c r="R40" t="s">
        <v>255</v>
      </c>
      <c r="S40" t="s">
        <v>247</v>
      </c>
      <c r="T40" t="s">
        <v>148</v>
      </c>
      <c r="U40" t="s">
        <v>318</v>
      </c>
      <c r="V40" t="s">
        <v>319</v>
      </c>
    </row>
    <row r="41" spans="1:22" x14ac:dyDescent="0.2">
      <c r="A41" t="s">
        <v>259</v>
      </c>
      <c r="B41" t="s">
        <v>222</v>
      </c>
      <c r="C41" t="s">
        <v>222</v>
      </c>
      <c r="D41" t="s">
        <v>223</v>
      </c>
      <c r="E41" t="s">
        <v>258</v>
      </c>
      <c r="G41" t="s">
        <v>46</v>
      </c>
      <c r="H41" t="s">
        <v>143</v>
      </c>
      <c r="I41">
        <v>48</v>
      </c>
      <c r="J41" t="s">
        <v>254</v>
      </c>
      <c r="K41" t="s">
        <v>60</v>
      </c>
      <c r="L41">
        <v>2.9</v>
      </c>
      <c r="M41">
        <v>21635</v>
      </c>
      <c r="N41">
        <v>32</v>
      </c>
      <c r="O41">
        <v>300</v>
      </c>
      <c r="P41">
        <f t="shared" si="0"/>
        <v>240</v>
      </c>
      <c r="Q41" t="s">
        <v>245</v>
      </c>
      <c r="R41" t="s">
        <v>255</v>
      </c>
      <c r="S41" t="s">
        <v>247</v>
      </c>
      <c r="T41" t="s">
        <v>148</v>
      </c>
      <c r="U41" t="s">
        <v>318</v>
      </c>
      <c r="V41" t="s">
        <v>319</v>
      </c>
    </row>
    <row r="42" spans="1:22" x14ac:dyDescent="0.2">
      <c r="A42" t="s">
        <v>260</v>
      </c>
      <c r="B42" t="s">
        <v>222</v>
      </c>
      <c r="C42" t="s">
        <v>222</v>
      </c>
      <c r="D42" t="s">
        <v>223</v>
      </c>
      <c r="E42" t="s">
        <v>258</v>
      </c>
      <c r="G42" t="s">
        <v>46</v>
      </c>
      <c r="H42" t="s">
        <v>143</v>
      </c>
      <c r="I42">
        <v>64</v>
      </c>
      <c r="J42" t="s">
        <v>254</v>
      </c>
      <c r="K42" t="s">
        <v>60</v>
      </c>
      <c r="L42">
        <v>2.9</v>
      </c>
      <c r="M42">
        <v>21635</v>
      </c>
      <c r="N42">
        <v>32</v>
      </c>
      <c r="O42">
        <v>300</v>
      </c>
      <c r="P42">
        <f t="shared" si="0"/>
        <v>240</v>
      </c>
      <c r="Q42" t="s">
        <v>245</v>
      </c>
      <c r="R42" t="s">
        <v>255</v>
      </c>
      <c r="S42" t="s">
        <v>247</v>
      </c>
      <c r="T42" t="s">
        <v>148</v>
      </c>
      <c r="U42" t="s">
        <v>318</v>
      </c>
      <c r="V42" t="s">
        <v>319</v>
      </c>
    </row>
    <row r="43" spans="1:22" x14ac:dyDescent="0.2">
      <c r="A43" t="s">
        <v>261</v>
      </c>
      <c r="B43" t="s">
        <v>222</v>
      </c>
      <c r="C43" t="s">
        <v>222</v>
      </c>
      <c r="D43" t="s">
        <v>223</v>
      </c>
      <c r="E43" t="s">
        <v>262</v>
      </c>
      <c r="G43" t="s">
        <v>86</v>
      </c>
      <c r="H43" t="s">
        <v>263</v>
      </c>
      <c r="I43">
        <v>72</v>
      </c>
      <c r="J43" t="s">
        <v>264</v>
      </c>
      <c r="K43" t="s">
        <v>265</v>
      </c>
      <c r="L43">
        <v>2</v>
      </c>
      <c r="M43">
        <v>43659</v>
      </c>
      <c r="N43">
        <v>32</v>
      </c>
      <c r="O43">
        <v>800</v>
      </c>
      <c r="P43">
        <f t="shared" si="0"/>
        <v>640</v>
      </c>
      <c r="Q43" t="s">
        <v>266</v>
      </c>
      <c r="R43" t="s">
        <v>146</v>
      </c>
      <c r="S43" t="s">
        <v>247</v>
      </c>
      <c r="T43" t="s">
        <v>148</v>
      </c>
      <c r="U43" t="s">
        <v>318</v>
      </c>
      <c r="V43" t="s">
        <v>84</v>
      </c>
    </row>
    <row r="44" spans="1:22" x14ac:dyDescent="0.2">
      <c r="A44" t="s">
        <v>267</v>
      </c>
      <c r="B44" t="s">
        <v>222</v>
      </c>
      <c r="C44" t="s">
        <v>222</v>
      </c>
      <c r="D44" t="s">
        <v>223</v>
      </c>
      <c r="E44" t="s">
        <v>262</v>
      </c>
      <c r="G44" t="s">
        <v>86</v>
      </c>
      <c r="H44" t="s">
        <v>263</v>
      </c>
      <c r="I44">
        <v>144</v>
      </c>
      <c r="J44" t="s">
        <v>264</v>
      </c>
      <c r="K44" t="s">
        <v>265</v>
      </c>
      <c r="L44">
        <v>2</v>
      </c>
      <c r="M44">
        <v>43659</v>
      </c>
      <c r="N44">
        <v>32</v>
      </c>
      <c r="O44">
        <v>800</v>
      </c>
      <c r="P44">
        <f t="shared" si="0"/>
        <v>640</v>
      </c>
      <c r="Q44" t="s">
        <v>266</v>
      </c>
      <c r="R44" t="s">
        <v>146</v>
      </c>
      <c r="S44" t="s">
        <v>247</v>
      </c>
      <c r="T44" t="s">
        <v>148</v>
      </c>
      <c r="U44" t="s">
        <v>318</v>
      </c>
      <c r="V44" t="s">
        <v>103</v>
      </c>
    </row>
    <row r="45" spans="1:22" x14ac:dyDescent="0.2">
      <c r="A45" t="s">
        <v>268</v>
      </c>
      <c r="B45" t="s">
        <v>222</v>
      </c>
      <c r="C45" t="s">
        <v>222</v>
      </c>
      <c r="D45" t="s">
        <v>223</v>
      </c>
      <c r="E45" t="s">
        <v>262</v>
      </c>
      <c r="G45" t="s">
        <v>86</v>
      </c>
      <c r="H45" t="s">
        <v>263</v>
      </c>
      <c r="I45">
        <v>216</v>
      </c>
      <c r="J45" t="s">
        <v>264</v>
      </c>
      <c r="K45" t="s">
        <v>265</v>
      </c>
      <c r="L45">
        <v>2</v>
      </c>
      <c r="M45">
        <v>43659</v>
      </c>
      <c r="N45">
        <v>32</v>
      </c>
      <c r="O45">
        <v>800</v>
      </c>
      <c r="P45">
        <f t="shared" si="0"/>
        <v>640</v>
      </c>
      <c r="Q45" t="s">
        <v>266</v>
      </c>
      <c r="R45" t="s">
        <v>146</v>
      </c>
      <c r="S45" t="s">
        <v>247</v>
      </c>
      <c r="T45" t="s">
        <v>148</v>
      </c>
      <c r="U45" t="s">
        <v>318</v>
      </c>
      <c r="V45" t="s">
        <v>105</v>
      </c>
    </row>
    <row r="46" spans="1:22" x14ac:dyDescent="0.2">
      <c r="A46" t="s">
        <v>269</v>
      </c>
      <c r="B46" t="s">
        <v>222</v>
      </c>
      <c r="C46" t="s">
        <v>222</v>
      </c>
      <c r="D46" t="s">
        <v>223</v>
      </c>
      <c r="E46" t="s">
        <v>262</v>
      </c>
      <c r="G46" t="s">
        <v>86</v>
      </c>
      <c r="H46" t="s">
        <v>263</v>
      </c>
      <c r="I46">
        <v>288</v>
      </c>
      <c r="J46" t="s">
        <v>264</v>
      </c>
      <c r="K46" t="s">
        <v>265</v>
      </c>
      <c r="L46">
        <v>2</v>
      </c>
      <c r="M46">
        <v>43659</v>
      </c>
      <c r="N46">
        <v>32</v>
      </c>
      <c r="O46">
        <v>800</v>
      </c>
      <c r="P46">
        <f t="shared" si="0"/>
        <v>640</v>
      </c>
      <c r="Q46" t="s">
        <v>266</v>
      </c>
      <c r="R46" t="s">
        <v>146</v>
      </c>
      <c r="S46" t="s">
        <v>247</v>
      </c>
      <c r="T46" t="s">
        <v>148</v>
      </c>
      <c r="U46" t="s">
        <v>318</v>
      </c>
      <c r="V46" t="s">
        <v>115</v>
      </c>
    </row>
    <row r="47" spans="1:22" x14ac:dyDescent="0.2">
      <c r="A47" t="s">
        <v>270</v>
      </c>
      <c r="B47" t="s">
        <v>222</v>
      </c>
      <c r="C47" t="s">
        <v>222</v>
      </c>
      <c r="D47" t="s">
        <v>223</v>
      </c>
      <c r="E47" t="s">
        <v>262</v>
      </c>
      <c r="G47" t="s">
        <v>86</v>
      </c>
      <c r="H47" t="s">
        <v>263</v>
      </c>
      <c r="I47">
        <v>360</v>
      </c>
      <c r="J47" t="s">
        <v>264</v>
      </c>
      <c r="K47" t="s">
        <v>265</v>
      </c>
      <c r="L47">
        <v>2</v>
      </c>
      <c r="M47">
        <v>43659</v>
      </c>
      <c r="N47">
        <v>32</v>
      </c>
      <c r="O47">
        <v>800</v>
      </c>
      <c r="P47">
        <f t="shared" si="0"/>
        <v>640</v>
      </c>
      <c r="Q47" t="s">
        <v>266</v>
      </c>
      <c r="R47" t="s">
        <v>146</v>
      </c>
      <c r="S47" t="s">
        <v>247</v>
      </c>
      <c r="T47" t="s">
        <v>148</v>
      </c>
      <c r="U47" t="s">
        <v>318</v>
      </c>
      <c r="V47" t="s">
        <v>115</v>
      </c>
    </row>
    <row r="48" spans="1:22" x14ac:dyDescent="0.2">
      <c r="A48" t="s">
        <v>271</v>
      </c>
      <c r="B48" t="s">
        <v>222</v>
      </c>
      <c r="C48" t="s">
        <v>222</v>
      </c>
      <c r="D48" t="s">
        <v>223</v>
      </c>
      <c r="E48" t="s">
        <v>272</v>
      </c>
      <c r="G48" t="s">
        <v>86</v>
      </c>
      <c r="H48" t="s">
        <v>273</v>
      </c>
      <c r="I48">
        <v>320</v>
      </c>
      <c r="J48" t="s">
        <v>274</v>
      </c>
      <c r="K48" t="s">
        <v>275</v>
      </c>
      <c r="L48">
        <v>2</v>
      </c>
      <c r="M48">
        <v>53750</v>
      </c>
      <c r="N48">
        <v>64</v>
      </c>
      <c r="O48">
        <v>1050</v>
      </c>
      <c r="P48">
        <f t="shared" si="0"/>
        <v>840</v>
      </c>
      <c r="Q48" t="s">
        <v>266</v>
      </c>
      <c r="R48" t="s">
        <v>276</v>
      </c>
      <c r="S48" t="s">
        <v>247</v>
      </c>
      <c r="T48" t="s">
        <v>148</v>
      </c>
      <c r="U48" t="s">
        <v>318</v>
      </c>
      <c r="V48" t="s">
        <v>121</v>
      </c>
    </row>
    <row r="49" spans="1:22" x14ac:dyDescent="0.2">
      <c r="A49" t="s">
        <v>277</v>
      </c>
      <c r="B49" t="s">
        <v>222</v>
      </c>
      <c r="C49" t="s">
        <v>222</v>
      </c>
      <c r="D49" t="s">
        <v>223</v>
      </c>
      <c r="E49" t="s">
        <v>272</v>
      </c>
      <c r="G49" t="s">
        <v>86</v>
      </c>
      <c r="H49" t="s">
        <v>273</v>
      </c>
      <c r="I49">
        <v>368</v>
      </c>
      <c r="J49" t="s">
        <v>274</v>
      </c>
      <c r="K49" t="s">
        <v>275</v>
      </c>
      <c r="L49">
        <v>2</v>
      </c>
      <c r="M49">
        <v>53750</v>
      </c>
      <c r="N49">
        <v>64</v>
      </c>
      <c r="O49">
        <v>1050</v>
      </c>
      <c r="P49">
        <f t="shared" si="0"/>
        <v>840</v>
      </c>
      <c r="Q49" t="s">
        <v>266</v>
      </c>
      <c r="R49" t="s">
        <v>276</v>
      </c>
      <c r="S49" t="s">
        <v>247</v>
      </c>
      <c r="T49" t="s">
        <v>148</v>
      </c>
      <c r="U49" t="s">
        <v>318</v>
      </c>
      <c r="V49" t="s">
        <v>121</v>
      </c>
    </row>
    <row r="50" spans="1:22" x14ac:dyDescent="0.2">
      <c r="A50" t="s">
        <v>278</v>
      </c>
      <c r="B50" t="s">
        <v>222</v>
      </c>
      <c r="C50" t="s">
        <v>222</v>
      </c>
      <c r="D50" t="s">
        <v>223</v>
      </c>
      <c r="E50" t="s">
        <v>272</v>
      </c>
      <c r="G50" t="s">
        <v>86</v>
      </c>
      <c r="H50" t="s">
        <v>273</v>
      </c>
      <c r="I50">
        <v>416</v>
      </c>
      <c r="J50" t="s">
        <v>274</v>
      </c>
      <c r="K50" t="s">
        <v>275</v>
      </c>
      <c r="L50">
        <v>2</v>
      </c>
      <c r="M50">
        <v>53750</v>
      </c>
      <c r="N50">
        <v>64</v>
      </c>
      <c r="O50">
        <v>1050</v>
      </c>
      <c r="P50">
        <f t="shared" si="0"/>
        <v>840</v>
      </c>
      <c r="Q50" t="s">
        <v>266</v>
      </c>
      <c r="R50" t="s">
        <v>276</v>
      </c>
      <c r="S50" t="s">
        <v>247</v>
      </c>
      <c r="T50" t="s">
        <v>148</v>
      </c>
      <c r="U50" t="s">
        <v>318</v>
      </c>
      <c r="V50" t="s">
        <v>125</v>
      </c>
    </row>
    <row r="51" spans="1:22" x14ac:dyDescent="0.2">
      <c r="A51" t="s">
        <v>279</v>
      </c>
      <c r="B51" t="s">
        <v>222</v>
      </c>
      <c r="C51" t="s">
        <v>222</v>
      </c>
      <c r="D51" t="s">
        <v>223</v>
      </c>
      <c r="E51" t="s">
        <v>272</v>
      </c>
      <c r="G51" t="s">
        <v>86</v>
      </c>
      <c r="H51" t="s">
        <v>273</v>
      </c>
      <c r="I51">
        <v>480</v>
      </c>
      <c r="J51" t="s">
        <v>274</v>
      </c>
      <c r="K51" t="s">
        <v>275</v>
      </c>
      <c r="L51">
        <v>2</v>
      </c>
      <c r="M51">
        <v>53750</v>
      </c>
      <c r="N51">
        <v>64</v>
      </c>
      <c r="O51">
        <v>1050</v>
      </c>
      <c r="P51">
        <f t="shared" si="0"/>
        <v>840</v>
      </c>
      <c r="Q51" t="s">
        <v>266</v>
      </c>
      <c r="R51" t="s">
        <v>276</v>
      </c>
      <c r="S51" t="s">
        <v>247</v>
      </c>
      <c r="T51" t="s">
        <v>148</v>
      </c>
      <c r="U51" t="s">
        <v>318</v>
      </c>
      <c r="V51" t="s">
        <v>125</v>
      </c>
    </row>
    <row r="52" spans="1:22" x14ac:dyDescent="0.2">
      <c r="A52" t="s">
        <v>280</v>
      </c>
      <c r="B52" t="s">
        <v>222</v>
      </c>
      <c r="C52" t="s">
        <v>222</v>
      </c>
      <c r="D52" t="s">
        <v>223</v>
      </c>
      <c r="E52" t="s">
        <v>272</v>
      </c>
      <c r="G52" t="s">
        <v>86</v>
      </c>
      <c r="H52" t="s">
        <v>273</v>
      </c>
      <c r="I52">
        <v>560</v>
      </c>
      <c r="J52" t="s">
        <v>274</v>
      </c>
      <c r="K52" t="s">
        <v>275</v>
      </c>
      <c r="L52">
        <v>2</v>
      </c>
      <c r="M52">
        <v>53750</v>
      </c>
      <c r="N52">
        <v>64</v>
      </c>
      <c r="O52">
        <v>1050</v>
      </c>
      <c r="P52">
        <f t="shared" si="0"/>
        <v>840</v>
      </c>
      <c r="Q52" t="s">
        <v>266</v>
      </c>
      <c r="R52" t="s">
        <v>276</v>
      </c>
      <c r="S52" t="s">
        <v>247</v>
      </c>
      <c r="T52" t="s">
        <v>148</v>
      </c>
      <c r="U52" t="s">
        <v>318</v>
      </c>
      <c r="V52" t="s">
        <v>127</v>
      </c>
    </row>
    <row r="53" spans="1:22" x14ac:dyDescent="0.2">
      <c r="A53" t="s">
        <v>281</v>
      </c>
      <c r="B53" t="s">
        <v>222</v>
      </c>
      <c r="C53" t="s">
        <v>222</v>
      </c>
      <c r="D53" t="s">
        <v>223</v>
      </c>
      <c r="E53" t="s">
        <v>272</v>
      </c>
      <c r="G53" t="s">
        <v>86</v>
      </c>
      <c r="H53" t="s">
        <v>273</v>
      </c>
      <c r="I53">
        <v>672</v>
      </c>
      <c r="J53" t="s">
        <v>274</v>
      </c>
      <c r="K53" t="s">
        <v>275</v>
      </c>
      <c r="L53">
        <v>2</v>
      </c>
      <c r="M53">
        <v>53750</v>
      </c>
      <c r="N53">
        <v>64</v>
      </c>
      <c r="O53">
        <v>1050</v>
      </c>
      <c r="P53">
        <f t="shared" si="0"/>
        <v>840</v>
      </c>
      <c r="Q53" t="s">
        <v>266</v>
      </c>
      <c r="R53" t="s">
        <v>276</v>
      </c>
      <c r="S53" t="s">
        <v>247</v>
      </c>
      <c r="T53" t="s">
        <v>148</v>
      </c>
      <c r="U53" t="s">
        <v>318</v>
      </c>
      <c r="V53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A15" sqref="A15"/>
    </sheetView>
  </sheetViews>
  <sheetFormatPr baseColWidth="10" defaultColWidth="8.83203125" defaultRowHeight="15" x14ac:dyDescent="0.2"/>
  <cols>
    <col min="1" max="5" width="29.33203125" customWidth="1"/>
  </cols>
  <sheetData>
    <row r="1" spans="1:5" x14ac:dyDescent="0.2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</row>
    <row r="2" spans="1:5" x14ac:dyDescent="0.2">
      <c r="A2" t="s">
        <v>1</v>
      </c>
      <c r="B2" t="s">
        <v>304</v>
      </c>
      <c r="C2" t="b">
        <v>0</v>
      </c>
      <c r="D2" t="b">
        <v>0</v>
      </c>
      <c r="E2">
        <v>1</v>
      </c>
    </row>
    <row r="3" spans="1:5" x14ac:dyDescent="0.2">
      <c r="A3" t="s">
        <v>9</v>
      </c>
      <c r="B3" t="s">
        <v>305</v>
      </c>
      <c r="C3" t="b">
        <v>1</v>
      </c>
      <c r="D3" t="b">
        <v>1</v>
      </c>
      <c r="E3">
        <v>2</v>
      </c>
    </row>
    <row r="4" spans="1:5" x14ac:dyDescent="0.2">
      <c r="A4" t="s">
        <v>10</v>
      </c>
      <c r="B4" t="s">
        <v>306</v>
      </c>
      <c r="C4" t="b">
        <v>1</v>
      </c>
      <c r="D4" t="b">
        <v>1</v>
      </c>
      <c r="E4">
        <v>3</v>
      </c>
    </row>
    <row r="5" spans="1:5" x14ac:dyDescent="0.2">
      <c r="A5" t="s">
        <v>4</v>
      </c>
      <c r="B5" t="s">
        <v>307</v>
      </c>
      <c r="C5" t="b">
        <v>1</v>
      </c>
      <c r="D5" t="b">
        <v>0</v>
      </c>
      <c r="E5">
        <v>4</v>
      </c>
    </row>
    <row r="6" spans="1:5" x14ac:dyDescent="0.2">
      <c r="A6" t="s">
        <v>5</v>
      </c>
      <c r="B6" t="s">
        <v>308</v>
      </c>
      <c r="C6" t="b">
        <v>1</v>
      </c>
      <c r="D6" t="b">
        <v>0</v>
      </c>
      <c r="E6">
        <v>5</v>
      </c>
    </row>
    <row r="7" spans="1:5" x14ac:dyDescent="0.2">
      <c r="A7" t="s">
        <v>6</v>
      </c>
      <c r="B7" t="s">
        <v>309</v>
      </c>
      <c r="C7" t="b">
        <v>1</v>
      </c>
      <c r="D7" t="b">
        <v>1</v>
      </c>
      <c r="E7">
        <v>6</v>
      </c>
    </row>
    <row r="8" spans="1:5" x14ac:dyDescent="0.2">
      <c r="A8" t="s">
        <v>7</v>
      </c>
      <c r="B8" t="s">
        <v>310</v>
      </c>
      <c r="C8" t="b">
        <v>1</v>
      </c>
      <c r="D8" t="b">
        <v>1</v>
      </c>
      <c r="E8">
        <v>7</v>
      </c>
    </row>
    <row r="9" spans="1:5" x14ac:dyDescent="0.2">
      <c r="A9" t="s">
        <v>8</v>
      </c>
      <c r="B9" t="s">
        <v>311</v>
      </c>
      <c r="C9" t="b">
        <v>1</v>
      </c>
      <c r="D9" t="b">
        <v>1</v>
      </c>
      <c r="E9">
        <v>8</v>
      </c>
    </row>
    <row r="10" spans="1:5" x14ac:dyDescent="0.2">
      <c r="A10" t="s">
        <v>3</v>
      </c>
      <c r="B10" t="s">
        <v>312</v>
      </c>
      <c r="C10" t="b">
        <v>1</v>
      </c>
      <c r="D10" t="b">
        <v>1</v>
      </c>
      <c r="E10">
        <v>9</v>
      </c>
    </row>
    <row r="11" spans="1:5" x14ac:dyDescent="0.2">
      <c r="A11" t="s">
        <v>11</v>
      </c>
      <c r="B11" t="s">
        <v>313</v>
      </c>
      <c r="C11" t="b">
        <v>1</v>
      </c>
      <c r="D11" t="b">
        <v>0</v>
      </c>
      <c r="E11">
        <v>10</v>
      </c>
    </row>
    <row r="12" spans="1:5" x14ac:dyDescent="0.2">
      <c r="A12" t="s">
        <v>12</v>
      </c>
      <c r="B12" t="s">
        <v>314</v>
      </c>
      <c r="C12" t="b">
        <v>0</v>
      </c>
      <c r="D12" t="b">
        <v>0</v>
      </c>
      <c r="E12">
        <v>11</v>
      </c>
    </row>
    <row r="13" spans="1:5" x14ac:dyDescent="0.2">
      <c r="A13" t="s">
        <v>14</v>
      </c>
      <c r="B13" t="s">
        <v>315</v>
      </c>
      <c r="C13" t="b">
        <v>0</v>
      </c>
      <c r="D13" t="b">
        <v>0</v>
      </c>
      <c r="E13">
        <v>13</v>
      </c>
    </row>
    <row r="14" spans="1:5" x14ac:dyDescent="0.2">
      <c r="A14" t="s">
        <v>15</v>
      </c>
      <c r="B14" t="s">
        <v>316</v>
      </c>
      <c r="C14" t="b">
        <v>1</v>
      </c>
      <c r="D14" t="b">
        <v>0</v>
      </c>
      <c r="E14">
        <v>14</v>
      </c>
    </row>
    <row r="15" spans="1:5" x14ac:dyDescent="0.2">
      <c r="A15" s="1" t="s">
        <v>135</v>
      </c>
      <c r="B15" t="s">
        <v>317</v>
      </c>
      <c r="C15" t="b">
        <v>0</v>
      </c>
      <c r="D15" t="b">
        <v>0</v>
      </c>
      <c r="E15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8"/>
  <sheetViews>
    <sheetView tabSelected="1"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131</v>
      </c>
      <c r="C1" s="1" t="s">
        <v>132</v>
      </c>
      <c r="D1" s="1" t="s">
        <v>133</v>
      </c>
      <c r="E1" s="1" t="s">
        <v>1</v>
      </c>
      <c r="F1" s="1" t="s">
        <v>134</v>
      </c>
      <c r="G1" s="1" t="s">
        <v>2</v>
      </c>
      <c r="H1" s="1" t="s">
        <v>135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136</v>
      </c>
      <c r="W1" s="1" t="s">
        <v>137</v>
      </c>
      <c r="X1" s="1" t="s">
        <v>17</v>
      </c>
      <c r="Y1" s="1" t="s">
        <v>288</v>
      </c>
      <c r="Z1" s="1" t="s">
        <v>289</v>
      </c>
      <c r="AA1" s="1" t="s">
        <v>290</v>
      </c>
    </row>
    <row r="2" spans="1:27" x14ac:dyDescent="0.2">
      <c r="A2" t="s">
        <v>221</v>
      </c>
      <c r="B2" t="s">
        <v>291</v>
      </c>
      <c r="C2" t="s">
        <v>222</v>
      </c>
      <c r="D2" t="s">
        <v>223</v>
      </c>
      <c r="E2" t="s">
        <v>224</v>
      </c>
      <c r="G2" t="s">
        <v>225</v>
      </c>
      <c r="H2" t="s">
        <v>226</v>
      </c>
      <c r="I2">
        <v>2</v>
      </c>
      <c r="J2" t="s">
        <v>227</v>
      </c>
      <c r="K2" t="s">
        <v>228</v>
      </c>
      <c r="L2">
        <v>3.4</v>
      </c>
      <c r="M2">
        <v>38138</v>
      </c>
      <c r="N2">
        <v>32</v>
      </c>
      <c r="O2">
        <v>100</v>
      </c>
      <c r="Q2" t="s">
        <v>229</v>
      </c>
      <c r="S2" t="s">
        <v>230</v>
      </c>
      <c r="X2" t="s">
        <v>292</v>
      </c>
      <c r="Y2">
        <v>14</v>
      </c>
      <c r="Z2">
        <v>14</v>
      </c>
    </row>
    <row r="3" spans="1:27" x14ac:dyDescent="0.2">
      <c r="A3" t="s">
        <v>231</v>
      </c>
      <c r="B3" t="s">
        <v>291</v>
      </c>
      <c r="C3" t="s">
        <v>222</v>
      </c>
      <c r="D3" t="s">
        <v>223</v>
      </c>
      <c r="E3" t="s">
        <v>224</v>
      </c>
      <c r="G3" t="s">
        <v>225</v>
      </c>
      <c r="H3" t="s">
        <v>226</v>
      </c>
      <c r="I3">
        <v>8</v>
      </c>
      <c r="J3" t="s">
        <v>227</v>
      </c>
      <c r="K3" t="s">
        <v>228</v>
      </c>
      <c r="L3">
        <v>3.4</v>
      </c>
      <c r="M3">
        <v>38138</v>
      </c>
      <c r="N3">
        <v>32</v>
      </c>
      <c r="O3">
        <v>100</v>
      </c>
      <c r="Q3" t="s">
        <v>229</v>
      </c>
      <c r="S3" t="s">
        <v>230</v>
      </c>
      <c r="X3" t="s">
        <v>292</v>
      </c>
      <c r="Y3">
        <v>14</v>
      </c>
      <c r="Z3">
        <v>14</v>
      </c>
    </row>
    <row r="4" spans="1:27" x14ac:dyDescent="0.2">
      <c r="A4" t="s">
        <v>232</v>
      </c>
      <c r="B4" t="s">
        <v>291</v>
      </c>
      <c r="C4" t="s">
        <v>222</v>
      </c>
      <c r="D4" t="s">
        <v>223</v>
      </c>
      <c r="E4" t="s">
        <v>224</v>
      </c>
      <c r="G4" t="s">
        <v>225</v>
      </c>
      <c r="H4" t="s">
        <v>226</v>
      </c>
      <c r="I4">
        <v>16</v>
      </c>
      <c r="J4" t="s">
        <v>227</v>
      </c>
      <c r="K4" t="s">
        <v>228</v>
      </c>
      <c r="L4">
        <v>3.4</v>
      </c>
      <c r="M4">
        <v>38138</v>
      </c>
      <c r="N4">
        <v>32</v>
      </c>
      <c r="O4">
        <v>100</v>
      </c>
      <c r="Q4" t="s">
        <v>229</v>
      </c>
      <c r="S4" t="s">
        <v>230</v>
      </c>
      <c r="X4" t="s">
        <v>292</v>
      </c>
      <c r="Y4">
        <v>14</v>
      </c>
      <c r="Z4">
        <v>14</v>
      </c>
    </row>
    <row r="5" spans="1:27" x14ac:dyDescent="0.2">
      <c r="A5" t="s">
        <v>233</v>
      </c>
      <c r="B5" t="s">
        <v>291</v>
      </c>
      <c r="C5" t="s">
        <v>222</v>
      </c>
      <c r="D5" t="s">
        <v>223</v>
      </c>
      <c r="E5" t="s">
        <v>234</v>
      </c>
      <c r="G5" t="s">
        <v>235</v>
      </c>
      <c r="H5" t="s">
        <v>236</v>
      </c>
      <c r="I5">
        <v>24</v>
      </c>
      <c r="J5" t="s">
        <v>227</v>
      </c>
      <c r="K5" t="s">
        <v>228</v>
      </c>
      <c r="L5">
        <v>3.4</v>
      </c>
      <c r="M5">
        <v>38138</v>
      </c>
      <c r="N5">
        <v>32</v>
      </c>
      <c r="O5">
        <v>100</v>
      </c>
      <c r="Q5" t="s">
        <v>229</v>
      </c>
      <c r="S5" t="s">
        <v>230</v>
      </c>
      <c r="X5" t="s">
        <v>293</v>
      </c>
      <c r="Y5">
        <v>14</v>
      </c>
      <c r="Z5">
        <v>14</v>
      </c>
    </row>
    <row r="6" spans="1:27" x14ac:dyDescent="0.2">
      <c r="A6" t="s">
        <v>237</v>
      </c>
      <c r="B6" t="s">
        <v>291</v>
      </c>
      <c r="C6" t="s">
        <v>222</v>
      </c>
      <c r="D6" t="s">
        <v>223</v>
      </c>
      <c r="E6" t="s">
        <v>234</v>
      </c>
      <c r="G6" t="s">
        <v>235</v>
      </c>
      <c r="H6" t="s">
        <v>236</v>
      </c>
      <c r="I6">
        <v>36</v>
      </c>
      <c r="J6" t="s">
        <v>227</v>
      </c>
      <c r="K6" t="s">
        <v>228</v>
      </c>
      <c r="L6">
        <v>3.4</v>
      </c>
      <c r="M6">
        <v>38138</v>
      </c>
      <c r="N6">
        <v>32</v>
      </c>
      <c r="O6">
        <v>100</v>
      </c>
      <c r="Q6" t="s">
        <v>229</v>
      </c>
      <c r="S6" t="s">
        <v>230</v>
      </c>
      <c r="X6" t="s">
        <v>293</v>
      </c>
      <c r="Y6">
        <v>14</v>
      </c>
      <c r="Z6">
        <v>14</v>
      </c>
    </row>
    <row r="7" spans="1:27" x14ac:dyDescent="0.2">
      <c r="A7" t="s">
        <v>238</v>
      </c>
      <c r="B7" t="s">
        <v>291</v>
      </c>
      <c r="C7" t="s">
        <v>222</v>
      </c>
      <c r="D7" t="s">
        <v>223</v>
      </c>
      <c r="E7" t="s">
        <v>234</v>
      </c>
      <c r="G7" t="s">
        <v>235</v>
      </c>
      <c r="H7" t="s">
        <v>236</v>
      </c>
      <c r="I7">
        <v>48</v>
      </c>
      <c r="J7" t="s">
        <v>227</v>
      </c>
      <c r="K7" t="s">
        <v>228</v>
      </c>
      <c r="L7">
        <v>3.4</v>
      </c>
      <c r="M7">
        <v>38138</v>
      </c>
      <c r="N7">
        <v>32</v>
      </c>
      <c r="O7">
        <v>100</v>
      </c>
      <c r="Q7" t="s">
        <v>229</v>
      </c>
      <c r="S7" t="s">
        <v>230</v>
      </c>
      <c r="X7" t="s">
        <v>293</v>
      </c>
      <c r="Y7">
        <v>14</v>
      </c>
      <c r="Z7">
        <v>14</v>
      </c>
    </row>
    <row r="8" spans="1:27" x14ac:dyDescent="0.2">
      <c r="A8" t="s">
        <v>239</v>
      </c>
      <c r="B8" t="s">
        <v>291</v>
      </c>
      <c r="C8" t="s">
        <v>222</v>
      </c>
      <c r="D8" t="s">
        <v>223</v>
      </c>
      <c r="E8" t="s">
        <v>234</v>
      </c>
      <c r="G8" t="s">
        <v>235</v>
      </c>
      <c r="H8" t="s">
        <v>236</v>
      </c>
      <c r="I8">
        <v>60</v>
      </c>
      <c r="J8" t="s">
        <v>227</v>
      </c>
      <c r="K8" t="s">
        <v>228</v>
      </c>
      <c r="L8">
        <v>3.4</v>
      </c>
      <c r="M8">
        <v>38138</v>
      </c>
      <c r="N8">
        <v>32</v>
      </c>
      <c r="O8">
        <v>100</v>
      </c>
      <c r="Q8" t="s">
        <v>229</v>
      </c>
      <c r="S8" t="s">
        <v>230</v>
      </c>
      <c r="X8" t="s">
        <v>293</v>
      </c>
      <c r="Y8">
        <v>14</v>
      </c>
      <c r="Z8">
        <v>14</v>
      </c>
    </row>
    <row r="9" spans="1:27" x14ac:dyDescent="0.2">
      <c r="A9" t="s">
        <v>240</v>
      </c>
      <c r="B9" t="s">
        <v>291</v>
      </c>
      <c r="C9" t="s">
        <v>222</v>
      </c>
      <c r="D9" t="s">
        <v>223</v>
      </c>
      <c r="E9" t="s">
        <v>241</v>
      </c>
      <c r="G9" t="s">
        <v>55</v>
      </c>
      <c r="H9" t="s">
        <v>242</v>
      </c>
      <c r="I9">
        <v>8</v>
      </c>
      <c r="J9" t="s">
        <v>243</v>
      </c>
      <c r="K9" t="s">
        <v>244</v>
      </c>
      <c r="L9">
        <v>3.4</v>
      </c>
      <c r="M9">
        <v>15228</v>
      </c>
      <c r="N9">
        <v>16</v>
      </c>
      <c r="O9">
        <v>200</v>
      </c>
      <c r="Q9" t="s">
        <v>245</v>
      </c>
      <c r="R9" t="s">
        <v>246</v>
      </c>
      <c r="S9" t="s">
        <v>247</v>
      </c>
      <c r="X9" t="s">
        <v>46</v>
      </c>
      <c r="Y9">
        <v>4</v>
      </c>
      <c r="Z9">
        <v>8</v>
      </c>
    </row>
    <row r="10" spans="1:27" x14ac:dyDescent="0.2">
      <c r="A10" t="s">
        <v>248</v>
      </c>
      <c r="B10" t="s">
        <v>291</v>
      </c>
      <c r="C10" t="s">
        <v>222</v>
      </c>
      <c r="D10" t="s">
        <v>223</v>
      </c>
      <c r="E10" t="s">
        <v>241</v>
      </c>
      <c r="G10" t="s">
        <v>55</v>
      </c>
      <c r="H10" t="s">
        <v>242</v>
      </c>
      <c r="I10">
        <v>16</v>
      </c>
      <c r="J10" t="s">
        <v>243</v>
      </c>
      <c r="K10" t="s">
        <v>244</v>
      </c>
      <c r="L10">
        <v>3.4</v>
      </c>
      <c r="M10">
        <v>15228</v>
      </c>
      <c r="N10">
        <v>16</v>
      </c>
      <c r="O10">
        <v>200</v>
      </c>
      <c r="Q10" t="s">
        <v>245</v>
      </c>
      <c r="R10" t="s">
        <v>246</v>
      </c>
      <c r="S10" t="s">
        <v>247</v>
      </c>
      <c r="X10" t="s">
        <v>46</v>
      </c>
      <c r="Y10">
        <v>4</v>
      </c>
      <c r="Z10">
        <v>8</v>
      </c>
    </row>
    <row r="11" spans="1:27" x14ac:dyDescent="0.2">
      <c r="A11" t="s">
        <v>249</v>
      </c>
      <c r="B11" t="s">
        <v>291</v>
      </c>
      <c r="C11" t="s">
        <v>222</v>
      </c>
      <c r="D11" t="s">
        <v>223</v>
      </c>
      <c r="E11" t="s">
        <v>241</v>
      </c>
      <c r="G11" t="s">
        <v>55</v>
      </c>
      <c r="H11" t="s">
        <v>242</v>
      </c>
      <c r="I11">
        <v>32</v>
      </c>
      <c r="J11" t="s">
        <v>243</v>
      </c>
      <c r="K11" t="s">
        <v>244</v>
      </c>
      <c r="L11">
        <v>3.4</v>
      </c>
      <c r="M11">
        <v>15228</v>
      </c>
      <c r="N11">
        <v>16</v>
      </c>
      <c r="O11">
        <v>200</v>
      </c>
      <c r="Q11" t="s">
        <v>245</v>
      </c>
      <c r="R11" t="s">
        <v>246</v>
      </c>
      <c r="S11" t="s">
        <v>247</v>
      </c>
      <c r="X11" t="s">
        <v>46</v>
      </c>
      <c r="Y11">
        <v>4</v>
      </c>
      <c r="Z11">
        <v>8</v>
      </c>
    </row>
    <row r="12" spans="1:27" x14ac:dyDescent="0.2">
      <c r="A12" t="s">
        <v>250</v>
      </c>
      <c r="B12" t="s">
        <v>291</v>
      </c>
      <c r="C12" t="s">
        <v>222</v>
      </c>
      <c r="D12" t="s">
        <v>223</v>
      </c>
      <c r="E12" t="s">
        <v>251</v>
      </c>
      <c r="G12" t="s">
        <v>252</v>
      </c>
      <c r="H12" t="s">
        <v>253</v>
      </c>
      <c r="I12">
        <v>24</v>
      </c>
      <c r="J12" t="s">
        <v>254</v>
      </c>
      <c r="K12" t="s">
        <v>60</v>
      </c>
      <c r="L12">
        <v>2.9</v>
      </c>
      <c r="M12">
        <v>21635</v>
      </c>
      <c r="N12">
        <v>32</v>
      </c>
      <c r="O12">
        <v>200</v>
      </c>
      <c r="Q12" t="s">
        <v>245</v>
      </c>
      <c r="R12" t="s">
        <v>255</v>
      </c>
      <c r="S12" t="s">
        <v>247</v>
      </c>
      <c r="X12" t="s">
        <v>252</v>
      </c>
      <c r="Y12">
        <v>6</v>
      </c>
      <c r="Z12">
        <v>12</v>
      </c>
    </row>
    <row r="13" spans="1:27" x14ac:dyDescent="0.2">
      <c r="A13" t="s">
        <v>256</v>
      </c>
      <c r="B13" t="s">
        <v>291</v>
      </c>
      <c r="C13" t="s">
        <v>222</v>
      </c>
      <c r="D13" t="s">
        <v>223</v>
      </c>
      <c r="E13" t="s">
        <v>251</v>
      </c>
      <c r="G13" t="s">
        <v>252</v>
      </c>
      <c r="H13" t="s">
        <v>253</v>
      </c>
      <c r="I13">
        <v>48</v>
      </c>
      <c r="J13" t="s">
        <v>254</v>
      </c>
      <c r="K13" t="s">
        <v>60</v>
      </c>
      <c r="L13">
        <v>2.9</v>
      </c>
      <c r="M13">
        <v>21635</v>
      </c>
      <c r="N13">
        <v>32</v>
      </c>
      <c r="O13">
        <v>200</v>
      </c>
      <c r="Q13" t="s">
        <v>245</v>
      </c>
      <c r="R13" t="s">
        <v>255</v>
      </c>
      <c r="S13" t="s">
        <v>247</v>
      </c>
      <c r="X13" t="s">
        <v>252</v>
      </c>
      <c r="Y13">
        <v>6</v>
      </c>
      <c r="Z13">
        <v>12</v>
      </c>
    </row>
    <row r="14" spans="1:27" x14ac:dyDescent="0.2">
      <c r="A14" t="s">
        <v>257</v>
      </c>
      <c r="B14" t="s">
        <v>291</v>
      </c>
      <c r="C14" t="s">
        <v>222</v>
      </c>
      <c r="D14" t="s">
        <v>223</v>
      </c>
      <c r="E14" t="s">
        <v>258</v>
      </c>
      <c r="G14" t="s">
        <v>55</v>
      </c>
      <c r="H14" t="s">
        <v>143</v>
      </c>
      <c r="I14">
        <v>36</v>
      </c>
      <c r="J14" t="s">
        <v>254</v>
      </c>
      <c r="K14" t="s">
        <v>60</v>
      </c>
      <c r="L14">
        <v>2.9</v>
      </c>
      <c r="M14">
        <v>21635</v>
      </c>
      <c r="N14">
        <v>32</v>
      </c>
      <c r="O14">
        <v>300</v>
      </c>
      <c r="Q14" t="s">
        <v>245</v>
      </c>
      <c r="R14" t="s">
        <v>255</v>
      </c>
      <c r="S14" t="s">
        <v>247</v>
      </c>
      <c r="X14" t="s">
        <v>294</v>
      </c>
      <c r="Y14">
        <v>6</v>
      </c>
      <c r="Z14">
        <v>12</v>
      </c>
    </row>
    <row r="15" spans="1:27" x14ac:dyDescent="0.2">
      <c r="A15" t="s">
        <v>259</v>
      </c>
      <c r="B15" t="s">
        <v>291</v>
      </c>
      <c r="C15" t="s">
        <v>222</v>
      </c>
      <c r="D15" t="s">
        <v>223</v>
      </c>
      <c r="E15" t="s">
        <v>258</v>
      </c>
      <c r="G15" t="s">
        <v>55</v>
      </c>
      <c r="H15" t="s">
        <v>143</v>
      </c>
      <c r="I15">
        <v>48</v>
      </c>
      <c r="J15" t="s">
        <v>254</v>
      </c>
      <c r="K15" t="s">
        <v>60</v>
      </c>
      <c r="L15">
        <v>2.9</v>
      </c>
      <c r="M15">
        <v>21635</v>
      </c>
      <c r="N15">
        <v>32</v>
      </c>
      <c r="O15">
        <v>300</v>
      </c>
      <c r="Q15" t="s">
        <v>245</v>
      </c>
      <c r="R15" t="s">
        <v>255</v>
      </c>
      <c r="S15" t="s">
        <v>247</v>
      </c>
      <c r="X15" t="s">
        <v>294</v>
      </c>
      <c r="Y15">
        <v>6</v>
      </c>
      <c r="Z15">
        <v>12</v>
      </c>
    </row>
    <row r="16" spans="1:27" x14ac:dyDescent="0.2">
      <c r="A16" t="s">
        <v>260</v>
      </c>
      <c r="B16" t="s">
        <v>291</v>
      </c>
      <c r="C16" t="s">
        <v>222</v>
      </c>
      <c r="D16" t="s">
        <v>223</v>
      </c>
      <c r="E16" t="s">
        <v>258</v>
      </c>
      <c r="G16" t="s">
        <v>55</v>
      </c>
      <c r="H16" t="s">
        <v>143</v>
      </c>
      <c r="I16">
        <v>64</v>
      </c>
      <c r="J16" t="s">
        <v>254</v>
      </c>
      <c r="K16" t="s">
        <v>60</v>
      </c>
      <c r="L16">
        <v>2.9</v>
      </c>
      <c r="M16">
        <v>21635</v>
      </c>
      <c r="N16">
        <v>32</v>
      </c>
      <c r="O16">
        <v>300</v>
      </c>
      <c r="Q16" t="s">
        <v>245</v>
      </c>
      <c r="R16" t="s">
        <v>255</v>
      </c>
      <c r="S16" t="s">
        <v>247</v>
      </c>
      <c r="X16" t="s">
        <v>294</v>
      </c>
      <c r="Y16">
        <v>6</v>
      </c>
      <c r="Z16">
        <v>12</v>
      </c>
    </row>
    <row r="17" spans="1:27" x14ac:dyDescent="0.2">
      <c r="A17" t="s">
        <v>261</v>
      </c>
      <c r="B17" t="s">
        <v>291</v>
      </c>
      <c r="C17" t="s">
        <v>222</v>
      </c>
      <c r="D17" t="s">
        <v>223</v>
      </c>
      <c r="E17" t="s">
        <v>262</v>
      </c>
      <c r="G17" t="s">
        <v>90</v>
      </c>
      <c r="H17" t="s">
        <v>263</v>
      </c>
      <c r="I17">
        <v>72</v>
      </c>
      <c r="J17" t="s">
        <v>264</v>
      </c>
      <c r="K17" t="s">
        <v>265</v>
      </c>
      <c r="L17">
        <v>2</v>
      </c>
      <c r="M17">
        <v>43659</v>
      </c>
      <c r="N17">
        <v>32</v>
      </c>
      <c r="O17">
        <v>800</v>
      </c>
      <c r="Q17" t="s">
        <v>266</v>
      </c>
      <c r="R17" t="s">
        <v>146</v>
      </c>
      <c r="S17" t="s">
        <v>247</v>
      </c>
      <c r="X17" t="s">
        <v>295</v>
      </c>
      <c r="Y17">
        <v>20</v>
      </c>
      <c r="Z17">
        <v>40</v>
      </c>
    </row>
    <row r="18" spans="1:27" x14ac:dyDescent="0.2">
      <c r="A18" t="s">
        <v>267</v>
      </c>
      <c r="B18" t="s">
        <v>291</v>
      </c>
      <c r="C18" t="s">
        <v>222</v>
      </c>
      <c r="D18" t="s">
        <v>223</v>
      </c>
      <c r="E18" t="s">
        <v>262</v>
      </c>
      <c r="G18" t="s">
        <v>90</v>
      </c>
      <c r="H18" t="s">
        <v>263</v>
      </c>
      <c r="I18">
        <v>144</v>
      </c>
      <c r="J18" t="s">
        <v>264</v>
      </c>
      <c r="K18" t="s">
        <v>265</v>
      </c>
      <c r="L18">
        <v>2</v>
      </c>
      <c r="M18">
        <v>43659</v>
      </c>
      <c r="N18">
        <v>32</v>
      </c>
      <c r="O18">
        <v>800</v>
      </c>
      <c r="Q18" t="s">
        <v>266</v>
      </c>
      <c r="R18" t="s">
        <v>146</v>
      </c>
      <c r="S18" t="s">
        <v>247</v>
      </c>
      <c r="X18" t="s">
        <v>295</v>
      </c>
      <c r="Y18">
        <v>20</v>
      </c>
      <c r="Z18">
        <v>40</v>
      </c>
    </row>
    <row r="19" spans="1:27" x14ac:dyDescent="0.2">
      <c r="A19" t="s">
        <v>268</v>
      </c>
      <c r="B19" t="s">
        <v>291</v>
      </c>
      <c r="C19" t="s">
        <v>222</v>
      </c>
      <c r="D19" t="s">
        <v>223</v>
      </c>
      <c r="E19" t="s">
        <v>262</v>
      </c>
      <c r="G19" t="s">
        <v>90</v>
      </c>
      <c r="H19" t="s">
        <v>263</v>
      </c>
      <c r="I19">
        <v>216</v>
      </c>
      <c r="J19" t="s">
        <v>264</v>
      </c>
      <c r="K19" t="s">
        <v>265</v>
      </c>
      <c r="L19">
        <v>2</v>
      </c>
      <c r="M19">
        <v>43659</v>
      </c>
      <c r="N19">
        <v>32</v>
      </c>
      <c r="O19">
        <v>800</v>
      </c>
      <c r="Q19" t="s">
        <v>266</v>
      </c>
      <c r="R19" t="s">
        <v>146</v>
      </c>
      <c r="S19" t="s">
        <v>247</v>
      </c>
      <c r="X19" t="s">
        <v>295</v>
      </c>
      <c r="Y19">
        <v>20</v>
      </c>
      <c r="Z19">
        <v>40</v>
      </c>
    </row>
    <row r="20" spans="1:27" x14ac:dyDescent="0.2">
      <c r="A20" t="s">
        <v>269</v>
      </c>
      <c r="B20" t="s">
        <v>291</v>
      </c>
      <c r="C20" t="s">
        <v>222</v>
      </c>
      <c r="D20" t="s">
        <v>223</v>
      </c>
      <c r="E20" t="s">
        <v>262</v>
      </c>
      <c r="G20" t="s">
        <v>90</v>
      </c>
      <c r="H20" t="s">
        <v>263</v>
      </c>
      <c r="I20">
        <v>288</v>
      </c>
      <c r="J20" t="s">
        <v>264</v>
      </c>
      <c r="K20" t="s">
        <v>265</v>
      </c>
      <c r="L20">
        <v>2</v>
      </c>
      <c r="M20">
        <v>43659</v>
      </c>
      <c r="N20">
        <v>32</v>
      </c>
      <c r="O20">
        <v>800</v>
      </c>
      <c r="Q20" t="s">
        <v>266</v>
      </c>
      <c r="R20" t="s">
        <v>146</v>
      </c>
      <c r="S20" t="s">
        <v>247</v>
      </c>
      <c r="X20" t="s">
        <v>295</v>
      </c>
      <c r="Y20">
        <v>20</v>
      </c>
      <c r="Z20">
        <v>40</v>
      </c>
    </row>
    <row r="21" spans="1:27" x14ac:dyDescent="0.2">
      <c r="A21" t="s">
        <v>270</v>
      </c>
      <c r="B21" t="s">
        <v>291</v>
      </c>
      <c r="C21" t="s">
        <v>222</v>
      </c>
      <c r="D21" t="s">
        <v>223</v>
      </c>
      <c r="E21" t="s">
        <v>262</v>
      </c>
      <c r="G21" t="s">
        <v>90</v>
      </c>
      <c r="H21" t="s">
        <v>263</v>
      </c>
      <c r="I21">
        <v>360</v>
      </c>
      <c r="J21" t="s">
        <v>264</v>
      </c>
      <c r="K21" t="s">
        <v>265</v>
      </c>
      <c r="L21">
        <v>2</v>
      </c>
      <c r="M21">
        <v>43659</v>
      </c>
      <c r="N21">
        <v>32</v>
      </c>
      <c r="O21">
        <v>800</v>
      </c>
      <c r="Q21" t="s">
        <v>266</v>
      </c>
      <c r="R21" t="s">
        <v>146</v>
      </c>
      <c r="S21" t="s">
        <v>247</v>
      </c>
      <c r="X21" t="s">
        <v>295</v>
      </c>
      <c r="Y21">
        <v>20</v>
      </c>
      <c r="Z21">
        <v>40</v>
      </c>
    </row>
    <row r="22" spans="1:27" x14ac:dyDescent="0.2">
      <c r="A22" t="s">
        <v>271</v>
      </c>
      <c r="B22" t="s">
        <v>291</v>
      </c>
      <c r="C22" t="s">
        <v>222</v>
      </c>
      <c r="D22" t="s">
        <v>223</v>
      </c>
      <c r="E22" t="s">
        <v>272</v>
      </c>
      <c r="G22" t="s">
        <v>90</v>
      </c>
      <c r="H22" t="s">
        <v>273</v>
      </c>
      <c r="I22">
        <v>320</v>
      </c>
      <c r="J22" t="s">
        <v>274</v>
      </c>
      <c r="K22" t="s">
        <v>275</v>
      </c>
      <c r="L22">
        <v>2</v>
      </c>
      <c r="M22">
        <v>53750</v>
      </c>
      <c r="N22">
        <v>64</v>
      </c>
      <c r="O22">
        <v>1050</v>
      </c>
      <c r="Q22" t="s">
        <v>266</v>
      </c>
      <c r="R22" t="s">
        <v>276</v>
      </c>
      <c r="S22" t="s">
        <v>247</v>
      </c>
      <c r="X22" t="s">
        <v>296</v>
      </c>
      <c r="Y22">
        <v>16</v>
      </c>
      <c r="Z22">
        <v>32</v>
      </c>
      <c r="AA22" t="s">
        <v>297</v>
      </c>
    </row>
    <row r="23" spans="1:27" x14ac:dyDescent="0.2">
      <c r="A23" t="s">
        <v>277</v>
      </c>
      <c r="B23" t="s">
        <v>291</v>
      </c>
      <c r="C23" t="s">
        <v>222</v>
      </c>
      <c r="D23" t="s">
        <v>223</v>
      </c>
      <c r="E23" t="s">
        <v>272</v>
      </c>
      <c r="G23" t="s">
        <v>90</v>
      </c>
      <c r="H23" t="s">
        <v>273</v>
      </c>
      <c r="I23">
        <v>368</v>
      </c>
      <c r="J23" t="s">
        <v>274</v>
      </c>
      <c r="K23" t="s">
        <v>275</v>
      </c>
      <c r="L23">
        <v>2</v>
      </c>
      <c r="M23">
        <v>53750</v>
      </c>
      <c r="N23">
        <v>64</v>
      </c>
      <c r="O23">
        <v>1050</v>
      </c>
      <c r="Q23" t="s">
        <v>266</v>
      </c>
      <c r="R23" t="s">
        <v>276</v>
      </c>
      <c r="S23" t="s">
        <v>247</v>
      </c>
      <c r="X23" t="s">
        <v>296</v>
      </c>
      <c r="Y23">
        <v>16</v>
      </c>
      <c r="Z23">
        <v>32</v>
      </c>
      <c r="AA23" t="s">
        <v>297</v>
      </c>
    </row>
    <row r="24" spans="1:27" x14ac:dyDescent="0.2">
      <c r="A24" t="s">
        <v>278</v>
      </c>
      <c r="B24" t="s">
        <v>291</v>
      </c>
      <c r="C24" t="s">
        <v>222</v>
      </c>
      <c r="D24" t="s">
        <v>223</v>
      </c>
      <c r="E24" t="s">
        <v>272</v>
      </c>
      <c r="G24" t="s">
        <v>90</v>
      </c>
      <c r="H24" t="s">
        <v>273</v>
      </c>
      <c r="I24">
        <v>416</v>
      </c>
      <c r="J24" t="s">
        <v>274</v>
      </c>
      <c r="K24" t="s">
        <v>275</v>
      </c>
      <c r="L24">
        <v>2</v>
      </c>
      <c r="M24">
        <v>53750</v>
      </c>
      <c r="N24">
        <v>64</v>
      </c>
      <c r="O24">
        <v>1050</v>
      </c>
      <c r="Q24" t="s">
        <v>266</v>
      </c>
      <c r="R24" t="s">
        <v>276</v>
      </c>
      <c r="S24" t="s">
        <v>247</v>
      </c>
      <c r="X24" t="s">
        <v>296</v>
      </c>
      <c r="Y24">
        <v>16</v>
      </c>
      <c r="Z24">
        <v>32</v>
      </c>
      <c r="AA24" t="s">
        <v>297</v>
      </c>
    </row>
    <row r="25" spans="1:27" x14ac:dyDescent="0.2">
      <c r="A25" t="s">
        <v>279</v>
      </c>
      <c r="B25" t="s">
        <v>291</v>
      </c>
      <c r="C25" t="s">
        <v>222</v>
      </c>
      <c r="D25" t="s">
        <v>223</v>
      </c>
      <c r="E25" t="s">
        <v>272</v>
      </c>
      <c r="G25" t="s">
        <v>90</v>
      </c>
      <c r="H25" t="s">
        <v>273</v>
      </c>
      <c r="I25">
        <v>480</v>
      </c>
      <c r="J25" t="s">
        <v>274</v>
      </c>
      <c r="K25" t="s">
        <v>275</v>
      </c>
      <c r="L25">
        <v>2</v>
      </c>
      <c r="M25">
        <v>53750</v>
      </c>
      <c r="N25">
        <v>64</v>
      </c>
      <c r="O25">
        <v>1050</v>
      </c>
      <c r="Q25" t="s">
        <v>266</v>
      </c>
      <c r="R25" t="s">
        <v>276</v>
      </c>
      <c r="S25" t="s">
        <v>247</v>
      </c>
      <c r="X25" t="s">
        <v>296</v>
      </c>
      <c r="Y25">
        <v>16</v>
      </c>
      <c r="Z25">
        <v>32</v>
      </c>
      <c r="AA25" t="s">
        <v>297</v>
      </c>
    </row>
    <row r="26" spans="1:27" x14ac:dyDescent="0.2">
      <c r="A26" t="s">
        <v>280</v>
      </c>
      <c r="B26" t="s">
        <v>291</v>
      </c>
      <c r="C26" t="s">
        <v>222</v>
      </c>
      <c r="D26" t="s">
        <v>223</v>
      </c>
      <c r="E26" t="s">
        <v>272</v>
      </c>
      <c r="G26" t="s">
        <v>90</v>
      </c>
      <c r="H26" t="s">
        <v>273</v>
      </c>
      <c r="I26">
        <v>560</v>
      </c>
      <c r="J26" t="s">
        <v>274</v>
      </c>
      <c r="K26" t="s">
        <v>275</v>
      </c>
      <c r="L26">
        <v>2</v>
      </c>
      <c r="M26">
        <v>53750</v>
      </c>
      <c r="N26">
        <v>64</v>
      </c>
      <c r="O26">
        <v>1050</v>
      </c>
      <c r="Q26" t="s">
        <v>266</v>
      </c>
      <c r="R26" t="s">
        <v>276</v>
      </c>
      <c r="S26" t="s">
        <v>247</v>
      </c>
      <c r="X26" t="s">
        <v>296</v>
      </c>
      <c r="Y26">
        <v>16</v>
      </c>
      <c r="Z26">
        <v>32</v>
      </c>
      <c r="AA26" t="s">
        <v>297</v>
      </c>
    </row>
    <row r="27" spans="1:27" x14ac:dyDescent="0.2">
      <c r="A27" t="s">
        <v>281</v>
      </c>
      <c r="B27" t="s">
        <v>291</v>
      </c>
      <c r="C27" t="s">
        <v>222</v>
      </c>
      <c r="D27" t="s">
        <v>223</v>
      </c>
      <c r="E27" t="s">
        <v>272</v>
      </c>
      <c r="G27" t="s">
        <v>90</v>
      </c>
      <c r="H27" t="s">
        <v>273</v>
      </c>
      <c r="I27">
        <v>672</v>
      </c>
      <c r="J27" t="s">
        <v>274</v>
      </c>
      <c r="K27" t="s">
        <v>275</v>
      </c>
      <c r="L27">
        <v>2</v>
      </c>
      <c r="M27">
        <v>53750</v>
      </c>
      <c r="N27">
        <v>64</v>
      </c>
      <c r="O27">
        <v>1050</v>
      </c>
      <c r="Q27" t="s">
        <v>266</v>
      </c>
      <c r="R27" t="s">
        <v>276</v>
      </c>
      <c r="S27" t="s">
        <v>247</v>
      </c>
      <c r="X27" t="s">
        <v>296</v>
      </c>
      <c r="Y27">
        <v>16</v>
      </c>
      <c r="Z27">
        <v>32</v>
      </c>
      <c r="AA27" t="s">
        <v>297</v>
      </c>
    </row>
    <row r="28" spans="1:27" x14ac:dyDescent="0.2">
      <c r="A28" t="s">
        <v>282</v>
      </c>
      <c r="B28" t="s">
        <v>291</v>
      </c>
      <c r="C28" t="s">
        <v>222</v>
      </c>
      <c r="D28" t="s">
        <v>223</v>
      </c>
      <c r="E28" t="s">
        <v>283</v>
      </c>
      <c r="G28" t="s">
        <v>55</v>
      </c>
      <c r="H28" t="s">
        <v>284</v>
      </c>
      <c r="I28">
        <v>0.96</v>
      </c>
      <c r="J28" t="s">
        <v>285</v>
      </c>
      <c r="K28" t="s">
        <v>286</v>
      </c>
      <c r="L28">
        <v>2</v>
      </c>
      <c r="M28">
        <v>70032</v>
      </c>
      <c r="N28">
        <v>64</v>
      </c>
      <c r="O28">
        <v>1000</v>
      </c>
      <c r="Q28" t="s">
        <v>287</v>
      </c>
      <c r="S28" t="s">
        <v>247</v>
      </c>
      <c r="X28" t="s">
        <v>298</v>
      </c>
      <c r="Y28">
        <v>20</v>
      </c>
      <c r="Z28">
        <v>40</v>
      </c>
      <c r="AA28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product_specs</vt:lpstr>
      <vt:lpstr>competitor_products</vt:lpstr>
      <vt:lpstr>display_specs</vt:lpstr>
      <vt:lpstr>StreamVault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Newbom</cp:lastModifiedBy>
  <dcterms:created xsi:type="dcterms:W3CDTF">2026-06-24T18:18:52Z</dcterms:created>
  <dcterms:modified xsi:type="dcterms:W3CDTF">2026-06-24T19:01:09Z</dcterms:modified>
</cp:coreProperties>
</file>